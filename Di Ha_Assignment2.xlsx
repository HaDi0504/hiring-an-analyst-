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1"/>
  <workbookPr/>
  <mc:AlternateContent xmlns:mc="http://schemas.openxmlformats.org/markup-compatibility/2006">
    <mc:Choice Requires="x15">
      <x15ac:absPath xmlns:x15ac="http://schemas.microsoft.com/office/spreadsheetml/2010/11/ac" url="/Users/hadi/Desktop/ASS2 /"/>
    </mc:Choice>
  </mc:AlternateContent>
  <xr:revisionPtr revIDLastSave="0" documentId="13_ncr:1_{CC3C4D41-77AE-3B42-90E1-91C123EE5DA2}" xr6:coauthVersionLast="47" xr6:coauthVersionMax="47" xr10:uidLastSave="{00000000-0000-0000-0000-000000000000}"/>
  <bookViews>
    <workbookView xWindow="15000" yWindow="500" windowWidth="18480" windowHeight="19680" activeTab="3" xr2:uid="{00000000-000D-0000-FFFF-FFFF00000000}"/>
  </bookViews>
  <sheets>
    <sheet name="A2 Text" sheetId="7" r:id="rId1"/>
    <sheet name="Payoff Table Template" sheetId="8" r:id="rId2"/>
    <sheet name="Task 2-1 Payoff Table Solution" sheetId="1" r:id="rId3"/>
    <sheet name="Task 2-2 Solution" sheetId="6" r:id="rId4"/>
    <sheet name="Task 2-3 Solution" sheetId="5" r:id="rId5"/>
    <sheet name="Task 2-4 Decision Tree" sheetId="11" r:id="rId6"/>
  </sheets>
  <definedNames>
    <definedName name="MinimizeCosts" localSheetId="5">FALSE</definedName>
    <definedName name="_xlnm.Print_Area" localSheetId="5">'Task 2-4 Decision Tree'!TreeDiagram</definedName>
    <definedName name="TreeData" localSheetId="5">'Task 2-4 Decision Tree'!$GH$1001:$GV$1041</definedName>
    <definedName name="TreeDiagBase" localSheetId="5">'Task 2-4 Decision Tree'!$C$5</definedName>
    <definedName name="TreeDiagram" localSheetId="5">'Task 2-4 Decision Tree'!$C$5:$U$138</definedName>
    <definedName name="UseExpUtility" localSheetId="5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E25" i="6"/>
  <c r="E24" i="6"/>
  <c r="E23" i="6"/>
  <c r="B26" i="6"/>
  <c r="D13" i="5"/>
  <c r="C5" i="5"/>
  <c r="C12" i="5"/>
  <c r="D4" i="5"/>
  <c r="C4" i="5"/>
  <c r="C13" i="5" s="1"/>
  <c r="C7" i="6"/>
  <c r="D7" i="6"/>
  <c r="B7" i="6"/>
  <c r="R131" i="11"/>
  <c r="R126" i="11"/>
  <c r="R136" i="11"/>
  <c r="R116" i="11"/>
  <c r="R111" i="11"/>
  <c r="R121" i="11"/>
  <c r="N131" i="11"/>
  <c r="R101" i="11"/>
  <c r="R96" i="11"/>
  <c r="N116" i="11"/>
  <c r="R106" i="11"/>
  <c r="N101" i="11"/>
  <c r="R86" i="11"/>
  <c r="R81" i="11"/>
  <c r="R91" i="11"/>
  <c r="R71" i="11"/>
  <c r="R66" i="11"/>
  <c r="R76" i="11"/>
  <c r="N86" i="11"/>
  <c r="R56" i="11"/>
  <c r="R51" i="11"/>
  <c r="N71" i="11"/>
  <c r="R61" i="11"/>
  <c r="N56" i="11"/>
  <c r="N5" i="11"/>
  <c r="N6" i="11"/>
  <c r="N10" i="11"/>
  <c r="N11" i="11"/>
  <c r="N15" i="11"/>
  <c r="N16" i="11"/>
  <c r="N20" i="11"/>
  <c r="N21" i="11"/>
  <c r="N25" i="11"/>
  <c r="N26" i="11"/>
  <c r="N30" i="11"/>
  <c r="N31" i="11"/>
  <c r="N35" i="11"/>
  <c r="N36" i="11"/>
  <c r="N40" i="11"/>
  <c r="N41" i="11"/>
  <c r="N45" i="11"/>
  <c r="N46" i="11"/>
  <c r="J11" i="11"/>
  <c r="J26" i="11"/>
  <c r="J41" i="11"/>
  <c r="R95" i="11" l="1"/>
  <c r="R110" i="11" s="1"/>
  <c r="C26" i="6"/>
  <c r="R100" i="11" s="1"/>
  <c r="R115" i="11" s="1"/>
  <c r="R130" i="11" s="1"/>
  <c r="D26" i="6"/>
  <c r="R105" i="11" s="1"/>
  <c r="B18" i="6"/>
  <c r="R50" i="11" s="1"/>
  <c r="R65" i="11" s="1"/>
  <c r="R80" i="11" s="1"/>
  <c r="C18" i="6"/>
  <c r="R55" i="11" s="1"/>
  <c r="R70" i="11" s="1"/>
  <c r="R85" i="11" s="1"/>
  <c r="D18" i="6"/>
  <c r="R60" i="11" s="1"/>
  <c r="R75" i="11" s="1"/>
  <c r="R90" i="11" s="1"/>
  <c r="B31" i="6"/>
  <c r="J115" i="11" s="1"/>
  <c r="B30" i="6"/>
  <c r="J70" i="11" s="1"/>
  <c r="B5" i="6"/>
  <c r="U22" i="11" s="1"/>
  <c r="O23" i="11" s="1"/>
  <c r="C5" i="6"/>
  <c r="D5" i="6"/>
  <c r="U32" i="11" s="1"/>
  <c r="O33" i="11" s="1"/>
  <c r="B6" i="6"/>
  <c r="C6" i="6"/>
  <c r="U42" i="11" s="1"/>
  <c r="O43" i="11" s="1"/>
  <c r="D6" i="6"/>
  <c r="U47" i="11" s="1"/>
  <c r="O48" i="11" s="1"/>
  <c r="C4" i="6"/>
  <c r="U12" i="11" s="1"/>
  <c r="O13" i="11" s="1"/>
  <c r="K13" i="11" s="1"/>
  <c r="D4" i="6"/>
  <c r="U17" i="11" s="1"/>
  <c r="O18" i="11" s="1"/>
  <c r="B4" i="6"/>
  <c r="U7" i="11" s="1"/>
  <c r="O8" i="11" s="1"/>
  <c r="B5" i="1"/>
  <c r="C5" i="1"/>
  <c r="D5" i="1"/>
  <c r="B6" i="1"/>
  <c r="C6" i="1"/>
  <c r="D6" i="1"/>
  <c r="C4" i="1"/>
  <c r="D4" i="1"/>
  <c r="B4" i="1"/>
  <c r="B10" i="1"/>
  <c r="C15" i="1" s="1"/>
  <c r="B10" i="6"/>
  <c r="K28" i="11" l="1"/>
  <c r="G28" i="11" s="1"/>
  <c r="H27" i="11" s="1"/>
  <c r="B16" i="1"/>
  <c r="B16" i="6" s="1"/>
  <c r="U67" i="11" s="1"/>
  <c r="S68" i="11" s="1"/>
  <c r="B17" i="1"/>
  <c r="B25" i="1" s="1"/>
  <c r="B25" i="6" s="1"/>
  <c r="U127" i="11" s="1"/>
  <c r="S128" i="11" s="1"/>
  <c r="C17" i="1"/>
  <c r="C17" i="6" s="1"/>
  <c r="U87" i="11" s="1"/>
  <c r="S88" i="11" s="1"/>
  <c r="B15" i="1"/>
  <c r="B23" i="1" s="1"/>
  <c r="B23" i="6" s="1"/>
  <c r="U97" i="11" s="1"/>
  <c r="S98" i="11" s="1"/>
  <c r="D16" i="1"/>
  <c r="D16" i="6" s="1"/>
  <c r="U77" i="11" s="1"/>
  <c r="S78" i="11" s="1"/>
  <c r="E6" i="6"/>
  <c r="U37" i="11"/>
  <c r="O38" i="11" s="1"/>
  <c r="K43" i="11" s="1"/>
  <c r="R125" i="11"/>
  <c r="E5" i="6"/>
  <c r="B39" i="6" s="1"/>
  <c r="B40" i="6" s="1"/>
  <c r="U27" i="11"/>
  <c r="O28" i="11" s="1"/>
  <c r="C16" i="1"/>
  <c r="C24" i="1" s="1"/>
  <c r="C24" i="6" s="1"/>
  <c r="U117" i="11" s="1"/>
  <c r="S118" i="11" s="1"/>
  <c r="R120" i="11"/>
  <c r="R135" i="11" s="1"/>
  <c r="C15" i="6"/>
  <c r="U57" i="11" s="1"/>
  <c r="S58" i="11" s="1"/>
  <c r="C23" i="1"/>
  <c r="C23" i="6" s="1"/>
  <c r="U102" i="11" s="1"/>
  <c r="S103" i="11" s="1"/>
  <c r="B24" i="1"/>
  <c r="B24" i="6" s="1"/>
  <c r="U112" i="11" s="1"/>
  <c r="S113" i="11" s="1"/>
  <c r="D15" i="1"/>
  <c r="B15" i="6"/>
  <c r="U52" i="11" s="1"/>
  <c r="S53" i="11" s="1"/>
  <c r="D24" i="1"/>
  <c r="D24" i="6" s="1"/>
  <c r="U122" i="11" s="1"/>
  <c r="S123" i="11" s="1"/>
  <c r="B17" i="6"/>
  <c r="U82" i="11" s="1"/>
  <c r="S83" i="11" s="1"/>
  <c r="D17" i="1"/>
  <c r="C25" i="1" l="1"/>
  <c r="C25" i="6" s="1"/>
  <c r="U132" i="11" s="1"/>
  <c r="S133" i="11" s="1"/>
  <c r="O118" i="11"/>
  <c r="C16" i="6"/>
  <c r="D25" i="1"/>
  <c r="D25" i="6" s="1"/>
  <c r="D17" i="6"/>
  <c r="U92" i="11" s="1"/>
  <c r="S93" i="11" s="1"/>
  <c r="O88" i="11" s="1"/>
  <c r="E17" i="6"/>
  <c r="D15" i="6"/>
  <c r="D23" i="1"/>
  <c r="D23" i="6" s="1"/>
  <c r="B34" i="6" l="1"/>
  <c r="D5" i="5"/>
  <c r="U72" i="11"/>
  <c r="S73" i="11" s="1"/>
  <c r="O73" i="11" s="1"/>
  <c r="E16" i="6"/>
  <c r="B33" i="6" s="1"/>
  <c r="B35" i="6" s="1"/>
  <c r="B38" i="6" s="1"/>
  <c r="U107" i="11"/>
  <c r="S108" i="11" s="1"/>
  <c r="O103" i="11" s="1"/>
  <c r="U137" i="11"/>
  <c r="S138" i="11" s="1"/>
  <c r="O133" i="11" s="1"/>
  <c r="K118" i="11" s="1"/>
  <c r="L117" i="11" s="1"/>
  <c r="E15" i="6"/>
  <c r="U62" i="11"/>
  <c r="S63" i="11" s="1"/>
  <c r="O58" i="11" s="1"/>
  <c r="B16" i="5" l="1"/>
  <c r="B17" i="5" s="1"/>
  <c r="D12" i="5"/>
  <c r="K73" i="11"/>
  <c r="G95" i="11" l="1"/>
  <c r="C61" i="11" s="1"/>
  <c r="D60" i="11" s="1"/>
  <c r="L72" i="11"/>
</calcChain>
</file>

<file path=xl/sharedStrings.xml><?xml version="1.0" encoding="utf-8"?>
<sst xmlns="http://schemas.openxmlformats.org/spreadsheetml/2006/main" count="299" uniqueCount="146">
  <si>
    <t>Probability</t>
  </si>
  <si>
    <t>Apartment Building</t>
  </si>
  <si>
    <t>Office Building</t>
  </si>
  <si>
    <t>Warehouse</t>
  </si>
  <si>
    <t>Optimistic Conditions</t>
  </si>
  <si>
    <t>Realistic Conditions</t>
  </si>
  <si>
    <t>Pessimistic Conditions</t>
  </si>
  <si>
    <t>EMV</t>
  </si>
  <si>
    <t>D</t>
  </si>
  <si>
    <t>E</t>
  </si>
  <si>
    <t>Alternatives</t>
  </si>
  <si>
    <t>States of Nature</t>
  </si>
  <si>
    <t>Problem Description</t>
  </si>
  <si>
    <t>A</t>
  </si>
  <si>
    <t>B</t>
  </si>
  <si>
    <t>C</t>
  </si>
  <si>
    <t>F</t>
  </si>
  <si>
    <t>G</t>
  </si>
  <si>
    <t>H</t>
  </si>
  <si>
    <t>I</t>
  </si>
  <si>
    <t>2.1 If the analysis report is positive:</t>
  </si>
  <si>
    <t>2.2 If the analysis report is negative:</t>
  </si>
  <si>
    <t>d</t>
  </si>
  <si>
    <t>e</t>
  </si>
  <si>
    <t>f</t>
  </si>
  <si>
    <t>g</t>
  </si>
  <si>
    <t>h</t>
  </si>
  <si>
    <t>i</t>
  </si>
  <si>
    <t>Assignment 2: Starting Conditions</t>
  </si>
  <si>
    <t>#</t>
  </si>
  <si>
    <t>Content per Tasks</t>
  </si>
  <si>
    <t>Task 2-0</t>
  </si>
  <si>
    <t>Task 2-1</t>
  </si>
  <si>
    <t>Task 2-2</t>
  </si>
  <si>
    <t>Task 2-3</t>
  </si>
  <si>
    <t>Task 2-4</t>
  </si>
  <si>
    <t>Task 2-5</t>
  </si>
  <si>
    <t>Prepare an executive summary</t>
  </si>
  <si>
    <t>Grading Points Per:</t>
  </si>
  <si>
    <t>Tasks</t>
  </si>
  <si>
    <t>Assignment</t>
  </si>
  <si>
    <t>List of Worksheets in the Excel File (it should be used as a reference for different tasks of the managerial report)</t>
  </si>
  <si>
    <t>(i)</t>
  </si>
  <si>
    <t>A2 Text</t>
  </si>
  <si>
    <t xml:space="preserve">(ii) </t>
  </si>
  <si>
    <t>Payoff Table - Template</t>
  </si>
  <si>
    <t>(iii)</t>
  </si>
  <si>
    <t xml:space="preserve">(iv) </t>
  </si>
  <si>
    <t>(v)</t>
  </si>
  <si>
    <t>(vi)</t>
  </si>
  <si>
    <r>
      <t xml:space="preserve">TreePlan Diagram of the Decision Tree: use BU MET V-LAB for Excel Add-In TreePlan   </t>
    </r>
    <r>
      <rPr>
        <b/>
        <sz val="10"/>
        <color theme="1"/>
        <rFont val="等线"/>
        <family val="2"/>
        <scheme val="minor"/>
      </rPr>
      <t>--&gt; Needed for Task 2-4</t>
    </r>
  </si>
  <si>
    <t>Fee for Survey</t>
  </si>
  <si>
    <t>A - Z</t>
  </si>
  <si>
    <t>D - Z</t>
  </si>
  <si>
    <t>G - Z</t>
  </si>
  <si>
    <t>B - Z</t>
  </si>
  <si>
    <t>E - Z</t>
  </si>
  <si>
    <t>H - Z</t>
  </si>
  <si>
    <t>C - Z</t>
  </si>
  <si>
    <t>F - Z</t>
  </si>
  <si>
    <t>I - Z</t>
  </si>
  <si>
    <t>k</t>
  </si>
  <si>
    <t>Z</t>
  </si>
  <si>
    <t>Probability of report results positive</t>
  </si>
  <si>
    <t>Probability of report results negative</t>
  </si>
  <si>
    <t>x</t>
  </si>
  <si>
    <t>y</t>
  </si>
  <si>
    <t>z</t>
  </si>
  <si>
    <t>n</t>
  </si>
  <si>
    <t>EMV (Report results positive)</t>
  </si>
  <si>
    <t>EMV (Hire a business analyst)</t>
  </si>
  <si>
    <t>Final EMV (Hire/Do not hire a business analyst)</t>
  </si>
  <si>
    <t>3. Final Solution</t>
  </si>
  <si>
    <t>3.1 EMV (hire a business analyst)</t>
  </si>
  <si>
    <t>3.2 Final EMV</t>
  </si>
  <si>
    <t>Node</t>
  </si>
  <si>
    <t xml:space="preserve">A real estate company is considering the development of one of the following three possible projects: (1) an apartment building; (2) an office building; (3) a warehouse. The amount of payoff (profit) that could be earned by selling the estate depends on the economic conditions, specified as: optimistic, realistic and pessimistic. </t>
  </si>
  <si>
    <t>The estimated payoffs and probabilities under optimistic, realistic and pessimistic conditions are shown as follows:</t>
  </si>
  <si>
    <t xml:space="preserve">In preparation for a final decision, the company is considering the hiring of a business analyst. If the company hires the analyst, the decision regarding which project to develop will not be made until the analyst presents a survey. However, the analyst is requesting an upfront payment for the survey in the amount of Z. The probabilities of the survey results to be positive or negative are i and k. </t>
  </si>
  <si>
    <t>Summary tables, in case the company hires a business analyst:</t>
  </si>
  <si>
    <t>Probability of survey results positive</t>
  </si>
  <si>
    <t>Probability of survey results negative</t>
  </si>
  <si>
    <t xml:space="preserve">(2) If the survey results are negative: </t>
  </si>
  <si>
    <t>Each student will receive from the instructor an excel file with a different dataset for payoffs (A to I) and probabilities (x,y,z,i,k,d,e,f,g,h,n).  You have to prepare and submit a managerial report where you should answer the question: Which one of the development projects should be selected? And based on your estimates, should the company hire the business analyst?</t>
  </si>
  <si>
    <t>Students should structure and present their Assignment 2 in the form of a Managerial Report. The expected length of the main body (tasks 2-1 to 2-4) is up to 3 pages APA format, excluding cover page, table of content, executive summary (task 2-5), and appendices (screenshots of the Payoff Table, EMV Table, Sensitivity Analysis Diagram, TreePlan Diagram of the Decision Tree). Submission requirements: Managerial Report (word file), and excel file with completed worksheets (iii) to (vi).</t>
  </si>
  <si>
    <t>Prepare payoff tables and develop a decision tree for this problem (without probabilities and EMVs).</t>
  </si>
  <si>
    <t>Given the probability of all three economic conditions and using expected monetary values (EMVs), calculate EMVs for each node and answer the questions: (1) What's the EMV for not hiring a business analyst and the EMV for hiring a business analyst? (2) What is your recommendation: to hire or not to hire a business analyst?</t>
  </si>
  <si>
    <r>
      <t xml:space="preserve">Payoff Table - Solution and a sketch of a decision tree (without probability and EMVs) </t>
    </r>
    <r>
      <rPr>
        <b/>
        <sz val="10"/>
        <color theme="1"/>
        <rFont val="等线"/>
        <family val="2"/>
        <scheme val="minor"/>
      </rPr>
      <t>--&gt; Needed for Task 2-1</t>
    </r>
  </si>
  <si>
    <r>
      <t xml:space="preserve">EMV Calculation: use EMV as a decision criterion for each decision nodes and states of nature nodes, calculate the EMV for each node, and recommend whether to hire/not to hire a business analyst </t>
    </r>
    <r>
      <rPr>
        <b/>
        <sz val="10"/>
        <color theme="1"/>
        <rFont val="等线"/>
        <family val="2"/>
        <scheme val="minor"/>
      </rPr>
      <t>--&gt; Needed for Task 2-2</t>
    </r>
  </si>
  <si>
    <r>
      <t xml:space="preserve">Sensitivity Analysis Diagram: compute the probability of survey results and define the range of probability values that the real estate company would hire or not hire a business analyst (including the probability of the cross point) </t>
    </r>
    <r>
      <rPr>
        <b/>
        <sz val="10"/>
        <color theme="1"/>
        <rFont val="等线"/>
        <family val="2"/>
        <scheme val="minor"/>
      </rPr>
      <t>--&gt; Needed for Task 2-3</t>
    </r>
  </si>
  <si>
    <t>3. Sketch of a Decision Tree (without probability and EMVs):</t>
  </si>
  <si>
    <t>Assignment 2: Case Problem "Real Estate Development: Select a New Project"</t>
  </si>
  <si>
    <t>EMV (Report results negative)</t>
  </si>
  <si>
    <t>2. If the company hires a business analyst:</t>
  </si>
  <si>
    <t>1. If the company does not hire a business analyst:</t>
  </si>
  <si>
    <t>If the analysis report results positive</t>
  </si>
  <si>
    <t>probability</t>
  </si>
  <si>
    <t>If the analysis report results negative</t>
  </si>
  <si>
    <t>A - Z</t>
    <phoneticPr fontId="10" type="noConversion"/>
  </si>
  <si>
    <t>Apply a software tool for the construction of a decision tree with payoffs, probabilities, and EMVs. The recommended tool is TreePlan: a Microsoft Excel Add-Ins (it is preinstalled on all V-PCs of the MET V-LABs)</t>
    <phoneticPr fontId="10" type="noConversion"/>
  </si>
  <si>
    <t>ID</t>
  </si>
  <si>
    <t>Name</t>
  </si>
  <si>
    <t>Value</t>
  </si>
  <si>
    <t>Prob</t>
  </si>
  <si>
    <t>Pred</t>
  </si>
  <si>
    <t>Kind</t>
  </si>
  <si>
    <t>NS</t>
  </si>
  <si>
    <t>S1</t>
  </si>
  <si>
    <t>S2</t>
  </si>
  <si>
    <t>S3</t>
  </si>
  <si>
    <t>S4</t>
  </si>
  <si>
    <t>S5</t>
  </si>
  <si>
    <t>Row</t>
  </si>
  <si>
    <t>Col</t>
  </si>
  <si>
    <t>Mark</t>
  </si>
  <si>
    <t>TreePlan</t>
  </si>
  <si>
    <t>T</t>
  </si>
  <si>
    <t>No analyst</t>
  </si>
  <si>
    <t>Analyst</t>
  </si>
  <si>
    <t>Positive</t>
  </si>
  <si>
    <t>Negative</t>
  </si>
  <si>
    <t xml:space="preserve">Use sensitivity analysis to define the probability range with respect to the survey results which might affect the decision to hire or not to hire a business analyst, draw the sensitivity chart, and find the probability for their cross point. </t>
    <phoneticPr fontId="10" type="noConversion"/>
  </si>
  <si>
    <t>(1) If the survey results are positive:</t>
    <phoneticPr fontId="10" type="noConversion"/>
  </si>
  <si>
    <t>Alternative</t>
  </si>
  <si>
    <t>State of Nature</t>
  </si>
  <si>
    <t>Not to hire Business Analyst</t>
  </si>
  <si>
    <t>Hire Business Analyst</t>
  </si>
  <si>
    <t>Probability for Senditivity Analysis for hire a business analyst</t>
  </si>
  <si>
    <t>P</t>
  </si>
  <si>
    <t>1-P</t>
  </si>
  <si>
    <t>Hire</t>
  </si>
  <si>
    <t>Cross point calculation:</t>
  </si>
  <si>
    <t>When P = 0</t>
  </si>
  <si>
    <t>When P=1</t>
  </si>
  <si>
    <t>EMV(No Analyst)=</t>
    <phoneticPr fontId="10" type="noConversion"/>
  </si>
  <si>
    <t>EMV(Analyst)=</t>
    <phoneticPr fontId="10" type="noConversion"/>
  </si>
  <si>
    <t>+</t>
    <phoneticPr fontId="10" type="noConversion"/>
  </si>
  <si>
    <t>EMV(Analyst)=167940</t>
    <phoneticPr fontId="10" type="noConversion"/>
  </si>
  <si>
    <t>213000*p+98000</t>
    <phoneticPr fontId="10" type="noConversion"/>
  </si>
  <si>
    <t>EMV(No Analyst)=308000</t>
    <phoneticPr fontId="10" type="noConversion"/>
  </si>
  <si>
    <t>EMV(Analyst)=98000</t>
    <phoneticPr fontId="10" type="noConversion"/>
  </si>
  <si>
    <t>EMV(No Analyst)=311000</t>
    <phoneticPr fontId="10" type="noConversion"/>
  </si>
  <si>
    <t>Not hire</t>
    <phoneticPr fontId="10" type="noConversion"/>
  </si>
  <si>
    <t>p=0.986</t>
    <phoneticPr fontId="10" type="noConversion"/>
  </si>
  <si>
    <t>Optimistic Conditions</t>
    <phoneticPr fontId="10" type="noConversion"/>
  </si>
  <si>
    <t>EMV (Do not hire a business analyst)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</si>
</sst>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¥&quot;* #,##0.00_);_(&quot;¥&quot;* \(#,##0.00\);_(&quot;¥&quot;* &quot;-&quot;??_);_(@_)"/>
    <numFmt numFmtId="43" formatCode="_(* #,##0.00_);_(* \(#,##0.00\);_(* &quot;-&quot;??_);_(@_)"/>
    <numFmt numFmtId="176" formatCode="&quot;$&quot;#,##0_);[Red]\(&quot;$&quot;#,##0\)"/>
    <numFmt numFmtId="177" formatCode="&quot;$&quot;#,##0"/>
    <numFmt numFmtId="178" formatCode="_-[$$-409]* #,##0.00_ ;_-[$$-409]* \-#,##0.00\ ;_-[$$-409]* &quot;-&quot;??_ ;_-@_ "/>
    <numFmt numFmtId="179" formatCode="_([$$-409]* #,##0.00_);_([$$-409]* \(#,##0.00\);_([$$-409]* &quot;-&quot;??_);_(@_)"/>
    <numFmt numFmtId="180" formatCode="#,##0.000_);\(#,##0.000\)"/>
  </numFmts>
  <fonts count="16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C00000"/>
      <name val="等线"/>
      <family val="2"/>
      <scheme val="minor"/>
    </font>
    <font>
      <sz val="10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theme="1"/>
      <name val="Times Roman"/>
    </font>
    <font>
      <sz val="10"/>
      <color theme="1"/>
      <name val="Times Roman"/>
    </font>
    <font>
      <sz val="12"/>
      <color theme="1"/>
      <name val="Times Roman"/>
    </font>
    <font>
      <b/>
      <sz val="11"/>
      <name val="Times Roman"/>
    </font>
    <font>
      <b/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</cellStyleXfs>
  <cellXfs count="140">
    <xf numFmtId="0" fontId="0" fillId="0" borderId="0" xfId="0"/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3" fillId="0" borderId="5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0" borderId="3" xfId="0" applyFont="1" applyBorder="1"/>
    <xf numFmtId="176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Fill="1" applyBorder="1"/>
    <xf numFmtId="0" fontId="9" fillId="0" borderId="5" xfId="0" applyFont="1" applyBorder="1" applyAlignment="1">
      <alignment horizontal="center" vertical="top"/>
    </xf>
    <xf numFmtId="0" fontId="11" fillId="0" borderId="0" xfId="0" applyFont="1"/>
    <xf numFmtId="0" fontId="12" fillId="0" borderId="0" xfId="0" applyFont="1"/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3" fillId="0" borderId="5" xfId="0" applyFont="1" applyBorder="1"/>
    <xf numFmtId="0" fontId="12" fillId="0" borderId="0" xfId="0" applyFont="1" applyBorder="1" applyAlignment="1">
      <alignment horizontal="center" vertical="center"/>
    </xf>
    <xf numFmtId="0" fontId="13" fillId="0" borderId="0" xfId="0" applyFont="1"/>
    <xf numFmtId="43" fontId="13" fillId="0" borderId="0" xfId="2" applyFont="1" applyAlignment="1"/>
    <xf numFmtId="0" fontId="14" fillId="0" borderId="5" xfId="0" applyFont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3" fontId="3" fillId="0" borderId="0" xfId="0" applyNumberFormat="1" applyFont="1" applyFill="1"/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13" fillId="0" borderId="5" xfId="0" applyFont="1" applyFill="1" applyBorder="1"/>
    <xf numFmtId="3" fontId="3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/>
    <xf numFmtId="177" fontId="3" fillId="0" borderId="5" xfId="0" applyNumberFormat="1" applyFont="1" applyFill="1" applyBorder="1" applyAlignment="1">
      <alignment horizontal="center"/>
    </xf>
    <xf numFmtId="0" fontId="7" fillId="0" borderId="5" xfId="0" applyFont="1" applyFill="1" applyBorder="1" applyAlignment="1">
      <alignment horizontal="left" vertical="center"/>
    </xf>
    <xf numFmtId="0" fontId="3" fillId="0" borderId="5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177" fontId="12" fillId="0" borderId="5" xfId="0" applyNumberFormat="1" applyFont="1" applyFill="1" applyBorder="1" applyAlignment="1">
      <alignment horizontal="center" vertical="center"/>
    </xf>
    <xf numFmtId="43" fontId="13" fillId="0" borderId="5" xfId="0" applyNumberFormat="1" applyFont="1" applyFill="1" applyBorder="1"/>
    <xf numFmtId="0" fontId="0" fillId="0" borderId="5" xfId="0" applyBorder="1"/>
    <xf numFmtId="178" fontId="0" fillId="0" borderId="5" xfId="3" applyNumberFormat="1" applyFont="1" applyBorder="1" applyAlignment="1"/>
    <xf numFmtId="0" fontId="0" fillId="0" borderId="5" xfId="0" applyBorder="1" applyAlignment="1">
      <alignment horizontal="left"/>
    </xf>
    <xf numFmtId="178" fontId="0" fillId="0" borderId="5" xfId="0" applyNumberFormat="1" applyBorder="1"/>
    <xf numFmtId="0" fontId="15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/>
    <xf numFmtId="178" fontId="0" fillId="0" borderId="5" xfId="0" quotePrefix="1" applyNumberFormat="1" applyBorder="1"/>
    <xf numFmtId="178" fontId="0" fillId="0" borderId="5" xfId="0" applyNumberFormat="1" applyBorder="1" applyAlignment="1">
      <alignment horizontal="center"/>
    </xf>
    <xf numFmtId="179" fontId="8" fillId="0" borderId="5" xfId="0" applyNumberFormat="1" applyFont="1" applyBorder="1" applyAlignment="1">
      <alignment horizontal="left"/>
    </xf>
    <xf numFmtId="180" fontId="8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3" fontId="3" fillId="0" borderId="7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</cellXfs>
  <cellStyles count="4">
    <cellStyle name="Normal 2" xfId="1" xr:uid="{00000000-0005-0000-0000-000002000000}"/>
    <cellStyle name="常规" xfId="0" builtinId="0"/>
    <cellStyle name="货币" xfId="3" builtinId="4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'Task 2-3 Solution'!$C$11</c:f>
              <c:strCache>
                <c:ptCount val="1"/>
                <c:pt idx="0">
                  <c:v>Not hire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6.2871112832558603E-3"/>
                  <c:y val="-4.22294808025898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25-9449-8328-1404A7B77B66}"/>
                </c:ext>
              </c:extLst>
            </c:dLbl>
            <c:dLbl>
              <c:idx val="1"/>
              <c:layout>
                <c:manualLayout>
                  <c:x val="5.1554312522697959E-2"/>
                  <c:y val="3.45513933839371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25-9449-8328-1404A7B77B6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'Task 2-3 Solution'!$B$12:$B$13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'Task 2-3 Solution'!$C$12:$C$13</c:f>
              <c:numCache>
                <c:formatCode>_-[$$-409]* #,##0.00_ ;_-[$$-409]* \-#,##0.00\ ;_-[$$-409]* "-"??_ ;_-@_ </c:formatCode>
                <c:ptCount val="2"/>
                <c:pt idx="0">
                  <c:v>308000</c:v>
                </c:pt>
                <c:pt idx="1">
                  <c:v>308000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5-9449-8328-1404A7B77B66}"/>
            </c:ext>
          </c:extLst>
        </c:ser>
        <c:ser>
          <c:idx val="1"/>
          <c:order val="1"/>
          <c:tx>
            <c:strRef>
              <c:f>'Task 2-3 Solution'!$D$11</c:f>
              <c:strCache>
                <c:ptCount val="1"/>
                <c:pt idx="0">
                  <c:v>Hire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5.0296890266046789E-3"/>
                  <c:y val="6.71832649132111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25-9449-8328-1404A7B77B66}"/>
                </c:ext>
              </c:extLst>
            </c:dLbl>
            <c:dLbl>
              <c:idx val="1"/>
              <c:layout>
                <c:manualLayout>
                  <c:x val="-6.287111283255941E-3"/>
                  <c:y val="-4.22294808025898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25-9449-8328-1404A7B77B6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'Task 2-3 Solution'!$B$12:$B$13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'Task 2-3 Solution'!$D$12:$D$13</c:f>
              <c:numCache>
                <c:formatCode>_-[$$-409]* #,##0.00_ ;_-[$$-409]* \-#,##0.00\ ;_-[$$-409]* "-"??_ ;_-@_ </c:formatCode>
                <c:ptCount val="2"/>
                <c:pt idx="0">
                  <c:v>98000</c:v>
                </c:pt>
                <c:pt idx="1">
                  <c:v>311000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25-9449-8328-1404A7B77B66}"/>
            </c:ext>
          </c:extLst>
        </c:ser>
        <c:ser>
          <c:idx val="2"/>
          <c:order val="2"/>
          <c:tx>
            <c:v>cross point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5000000000000001E-2"/>
                  <c:y val="0.1157407407407407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25-9449-8328-1404A7B77B6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'Task 2-3 Solution'!$B$17</c:f>
              <c:numCache>
                <c:formatCode>#,##0.000_);\(#,##0.000\)</c:formatCode>
                <c:ptCount val="1"/>
                <c:pt idx="0">
                  <c:v>0.9859154929577465</c:v>
                </c:pt>
              </c:numCache>
            </c:numRef>
          </c:xVal>
          <c:yVal>
            <c:numRef>
              <c:f>'Task 2-3 Solution'!$C$12</c:f>
              <c:numCache>
                <c:formatCode>_-[$$-409]* #,##0.00_ ;_-[$$-409]* \-#,##0.00\ ;_-[$$-409]* "-"??_ ;_-@_ </c:formatCode>
                <c:ptCount val="1"/>
                <c:pt idx="0">
                  <c:v>308000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25-9449-8328-1404A7B77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338864"/>
        <c:axId val="632894304"/>
      </c:scatterChart>
      <c:valAx>
        <c:axId val="4803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2894304"/>
        <c:crosses val="autoZero"/>
        <c:crossBetween val="midCat"/>
      </c:valAx>
      <c:valAx>
        <c:axId val="6328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033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39754AB-4AC5-46A5-82DD-A3E2EA5AB27E}" type="doc">
      <dgm:prSet loTypeId="urn:microsoft.com/office/officeart/2005/8/layout/hierarchy2" loCatId="hierarchy" qsTypeId="urn:microsoft.com/office/officeart/2005/8/quickstyle/simple4" qsCatId="simple" csTypeId="urn:microsoft.com/office/officeart/2005/8/colors/accent2_2" csCatId="accent2" phldr="1"/>
      <dgm:spPr/>
      <dgm:t>
        <a:bodyPr/>
        <a:lstStyle/>
        <a:p>
          <a:endParaRPr lang="en-US"/>
        </a:p>
      </dgm:t>
    </dgm:pt>
    <dgm:pt modelId="{2AD29D81-5D74-4537-84A9-3EFC22482CE1}">
      <dgm:prSet phldrT="[Text]"/>
      <dgm:spPr/>
      <dgm:t>
        <a:bodyPr/>
        <a:lstStyle/>
        <a:p>
          <a:r>
            <a:rPr lang="en-US"/>
            <a:t>1</a:t>
          </a:r>
        </a:p>
      </dgm:t>
    </dgm:pt>
    <dgm:pt modelId="{EB6CAD8B-7A1D-48FF-A72B-885BE0867E4E}" type="parTrans" cxnId="{EF02FD24-BB4C-49A9-8D88-D827BB5E1F74}">
      <dgm:prSet/>
      <dgm:spPr/>
      <dgm:t>
        <a:bodyPr/>
        <a:lstStyle/>
        <a:p>
          <a:endParaRPr lang="en-US"/>
        </a:p>
      </dgm:t>
    </dgm:pt>
    <dgm:pt modelId="{DE2AFC45-13E1-48DB-8C96-E92FDD70EB61}" type="sibTrans" cxnId="{EF02FD24-BB4C-49A9-8D88-D827BB5E1F74}">
      <dgm:prSet/>
      <dgm:spPr/>
      <dgm:t>
        <a:bodyPr/>
        <a:lstStyle/>
        <a:p>
          <a:endParaRPr lang="en-US"/>
        </a:p>
      </dgm:t>
    </dgm:pt>
    <dgm:pt modelId="{1E1A7748-F669-4BD0-9DCC-B60264D52951}">
      <dgm:prSet phldrT="[Text]"/>
      <dgm:spPr/>
      <dgm:t>
        <a:bodyPr/>
        <a:lstStyle/>
        <a:p>
          <a:r>
            <a:rPr lang="en-US"/>
            <a:t>2</a:t>
          </a:r>
        </a:p>
      </dgm:t>
    </dgm:pt>
    <dgm:pt modelId="{8A8C542E-8C6F-49E6-B4EE-1FC83038C718}" type="parTrans" cxnId="{E592683E-8310-4620-8C71-96A1221194C2}">
      <dgm:prSet/>
      <dgm:spPr/>
      <dgm:t>
        <a:bodyPr/>
        <a:lstStyle/>
        <a:p>
          <a:r>
            <a:rPr lang="en-US"/>
            <a:t>Hire  Business Analyst</a:t>
          </a:r>
        </a:p>
      </dgm:t>
    </dgm:pt>
    <dgm:pt modelId="{B08BD916-EBBB-43F5-A2D5-6380A9E4B236}" type="sibTrans" cxnId="{E592683E-8310-4620-8C71-96A1221194C2}">
      <dgm:prSet/>
      <dgm:spPr/>
      <dgm:t>
        <a:bodyPr/>
        <a:lstStyle/>
        <a:p>
          <a:endParaRPr lang="en-US"/>
        </a:p>
      </dgm:t>
    </dgm:pt>
    <dgm:pt modelId="{D7696A1A-4D6F-4FF8-BE60-16AF35954B73}">
      <dgm:prSet phldrT="[Text]"/>
      <dgm:spPr/>
      <dgm:t>
        <a:bodyPr/>
        <a:lstStyle/>
        <a:p>
          <a:r>
            <a:rPr lang="en-US" altLang="zh-CN"/>
            <a:t>4</a:t>
          </a:r>
          <a:endParaRPr lang="en-US"/>
        </a:p>
      </dgm:t>
    </dgm:pt>
    <dgm:pt modelId="{A3FC1A59-5FFA-4FFC-9706-C085BCB0993F}" type="parTrans" cxnId="{0ED792A0-D2F7-4ACE-9269-DA3C5E898CB6}">
      <dgm:prSet/>
      <dgm:spPr/>
      <dgm:t>
        <a:bodyPr/>
        <a:lstStyle/>
        <a:p>
          <a:r>
            <a:rPr lang="en-US"/>
            <a:t>Positive</a:t>
          </a:r>
        </a:p>
      </dgm:t>
    </dgm:pt>
    <dgm:pt modelId="{15F6BC0A-6617-44CF-B98F-64E3E0950714}" type="sibTrans" cxnId="{0ED792A0-D2F7-4ACE-9269-DA3C5E898CB6}">
      <dgm:prSet/>
      <dgm:spPr/>
      <dgm:t>
        <a:bodyPr/>
        <a:lstStyle/>
        <a:p>
          <a:endParaRPr lang="en-US"/>
        </a:p>
      </dgm:t>
    </dgm:pt>
    <dgm:pt modelId="{B42E0C94-89B9-4200-BD7E-6C6EC8CBDB81}">
      <dgm:prSet phldrT="[Text]"/>
      <dgm:spPr/>
      <dgm:t>
        <a:bodyPr/>
        <a:lstStyle/>
        <a:p>
          <a:r>
            <a:rPr lang="en-US"/>
            <a:t>1</a:t>
          </a:r>
          <a:r>
            <a:rPr lang="en-US" altLang="zh-CN"/>
            <a:t>2</a:t>
          </a:r>
          <a:endParaRPr lang="en-US"/>
        </a:p>
      </dgm:t>
    </dgm:pt>
    <dgm:pt modelId="{735BC54A-8C71-4A11-9318-8ECA5805A9B5}" type="parTrans" cxnId="{B0890107-10AA-4775-BF32-34AAA3DDD2FB}">
      <dgm:prSet/>
      <dgm:spPr/>
      <dgm:t>
        <a:bodyPr/>
        <a:lstStyle/>
        <a:p>
          <a:r>
            <a:rPr lang="en-US"/>
            <a:t>Apartment Buiding</a:t>
          </a:r>
        </a:p>
        <a:p>
          <a:endParaRPr lang="en-US"/>
        </a:p>
      </dgm:t>
    </dgm:pt>
    <dgm:pt modelId="{DCE4F4A7-F961-4F88-82A0-11565AA5C140}" type="sibTrans" cxnId="{B0890107-10AA-4775-BF32-34AAA3DDD2FB}">
      <dgm:prSet/>
      <dgm:spPr/>
      <dgm:t>
        <a:bodyPr/>
        <a:lstStyle/>
        <a:p>
          <a:endParaRPr lang="en-US"/>
        </a:p>
      </dgm:t>
    </dgm:pt>
    <dgm:pt modelId="{ED44482E-F76F-49C8-A5D3-B3BE87B8DA96}">
      <dgm:prSet phldrT="[Text]"/>
      <dgm:spPr/>
      <dgm:t>
        <a:bodyPr/>
        <a:lstStyle/>
        <a:p>
          <a:r>
            <a:rPr lang="en-US"/>
            <a:t>1</a:t>
          </a:r>
          <a:r>
            <a:rPr lang="en-US" altLang="zh-CN"/>
            <a:t>3</a:t>
          </a:r>
          <a:endParaRPr lang="en-US"/>
        </a:p>
      </dgm:t>
    </dgm:pt>
    <dgm:pt modelId="{D91732D2-8DC1-4440-82B7-FE4475CEA2AD}" type="parTrans" cxnId="{36890D8A-2355-4D99-B09D-8B3625844CE2}">
      <dgm:prSet/>
      <dgm:spPr/>
      <dgm:t>
        <a:bodyPr/>
        <a:lstStyle/>
        <a:p>
          <a:r>
            <a:rPr lang="en-US"/>
            <a:t>Office Building</a:t>
          </a:r>
        </a:p>
      </dgm:t>
    </dgm:pt>
    <dgm:pt modelId="{40333551-6B63-4370-A2CA-7A89EDCEFCBC}" type="sibTrans" cxnId="{36890D8A-2355-4D99-B09D-8B3625844CE2}">
      <dgm:prSet/>
      <dgm:spPr/>
      <dgm:t>
        <a:bodyPr/>
        <a:lstStyle/>
        <a:p>
          <a:endParaRPr lang="en-US"/>
        </a:p>
      </dgm:t>
    </dgm:pt>
    <dgm:pt modelId="{7A1DAAD1-8B77-414E-81EA-D42CF82316B0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333</a:t>
          </a:r>
          <a:r>
            <a:rPr lang="en-US" b="0" i="0" u="none"/>
            <a:t>,000</a:t>
          </a:r>
          <a:endParaRPr lang="en-US"/>
        </a:p>
      </dgm:t>
    </dgm:pt>
    <dgm:pt modelId="{C52616F3-CF73-4718-8D5B-F7D18E678C1A}" type="parTrans" cxnId="{E728DD71-4005-4B23-99E2-FA67D101D39F}">
      <dgm:prSet/>
      <dgm:spPr/>
      <dgm:t>
        <a:bodyPr/>
        <a:lstStyle/>
        <a:p>
          <a:r>
            <a:rPr lang="en-US"/>
            <a:t>Optimistic</a:t>
          </a:r>
        </a:p>
        <a:p>
          <a:endParaRPr lang="en-US"/>
        </a:p>
      </dgm:t>
    </dgm:pt>
    <dgm:pt modelId="{56B21AC4-FF5F-45AF-BDC5-7E1697383D57}" type="sibTrans" cxnId="{E728DD71-4005-4B23-99E2-FA67D101D39F}">
      <dgm:prSet/>
      <dgm:spPr/>
      <dgm:t>
        <a:bodyPr/>
        <a:lstStyle/>
        <a:p>
          <a:endParaRPr lang="en-US"/>
        </a:p>
      </dgm:t>
    </dgm:pt>
    <dgm:pt modelId="{BE3B6B97-B57C-481F-9B20-057BBEF0302D}">
      <dgm:prSet/>
      <dgm:spPr/>
      <dgm:t>
        <a:bodyPr/>
        <a:lstStyle/>
        <a:p>
          <a:r>
            <a:rPr lang="en-US" altLang="zh-CN"/>
            <a:t>9</a:t>
          </a:r>
          <a:endParaRPr lang="en-US"/>
        </a:p>
      </dgm:t>
    </dgm:pt>
    <dgm:pt modelId="{88849D94-15D2-48C0-8B29-E52B146B960A}" type="parTrans" cxnId="{8C053C33-4AE3-4ECF-BC02-D944C3B16482}">
      <dgm:prSet/>
      <dgm:spPr/>
      <dgm:t>
        <a:bodyPr/>
        <a:lstStyle/>
        <a:p>
          <a:r>
            <a:rPr lang="en-US"/>
            <a:t>Apartment Buiding</a:t>
          </a:r>
        </a:p>
      </dgm:t>
    </dgm:pt>
    <dgm:pt modelId="{BA38B7F4-FE86-4F3A-BC08-93D3C040C1F9}" type="sibTrans" cxnId="{8C053C33-4AE3-4ECF-BC02-D944C3B16482}">
      <dgm:prSet/>
      <dgm:spPr/>
      <dgm:t>
        <a:bodyPr/>
        <a:lstStyle/>
        <a:p>
          <a:endParaRPr lang="en-US"/>
        </a:p>
      </dgm:t>
    </dgm:pt>
    <dgm:pt modelId="{3B3B1340-FA92-46A6-9AB1-52D50A09A7CF}">
      <dgm:prSet/>
      <dgm:spPr/>
      <dgm:t>
        <a:bodyPr/>
        <a:lstStyle/>
        <a:p>
          <a:r>
            <a:rPr lang="en-US" altLang="zh-CN"/>
            <a:t>5</a:t>
          </a:r>
          <a:endParaRPr lang="en-US"/>
        </a:p>
      </dgm:t>
    </dgm:pt>
    <dgm:pt modelId="{99F05618-7FC1-4765-B3F3-5DC4279CB717}" type="parTrans" cxnId="{034D312D-20EE-46C7-836F-C6EA7D925CFB}">
      <dgm:prSet/>
      <dgm:spPr/>
      <dgm:t>
        <a:bodyPr/>
        <a:lstStyle/>
        <a:p>
          <a:r>
            <a:rPr lang="en-US"/>
            <a:t>Negative</a:t>
          </a:r>
        </a:p>
      </dgm:t>
    </dgm:pt>
    <dgm:pt modelId="{68A61EC9-46D7-4E8F-8C71-3BC7EA7CE6FD}" type="sibTrans" cxnId="{034D312D-20EE-46C7-836F-C6EA7D925CFB}">
      <dgm:prSet/>
      <dgm:spPr/>
      <dgm:t>
        <a:bodyPr/>
        <a:lstStyle/>
        <a:p>
          <a:endParaRPr lang="en-US"/>
        </a:p>
      </dgm:t>
    </dgm:pt>
    <dgm:pt modelId="{1A5171FD-3A5E-402C-BA1B-E69D2860D091}">
      <dgm:prSet/>
      <dgm:spPr/>
      <dgm:t>
        <a:bodyPr/>
        <a:lstStyle/>
        <a:p>
          <a:r>
            <a:rPr lang="en-US" altLang="zh-CN"/>
            <a:t>6</a:t>
          </a:r>
          <a:endParaRPr lang="en-US"/>
        </a:p>
      </dgm:t>
    </dgm:pt>
    <dgm:pt modelId="{72B16407-D95D-4F2F-AB68-FE3B6622942B}" type="parTrans" cxnId="{EA2FA7EE-15A6-43FC-955A-F8EC954E352E}">
      <dgm:prSet/>
      <dgm:spPr/>
      <dgm:t>
        <a:bodyPr/>
        <a:lstStyle/>
        <a:p>
          <a:r>
            <a:rPr lang="en-US"/>
            <a:t>Apartment Building</a:t>
          </a:r>
        </a:p>
      </dgm:t>
    </dgm:pt>
    <dgm:pt modelId="{1CBCA832-417C-45BE-A41B-F00B87E001FB}" type="sibTrans" cxnId="{EA2FA7EE-15A6-43FC-955A-F8EC954E352E}">
      <dgm:prSet/>
      <dgm:spPr/>
      <dgm:t>
        <a:bodyPr/>
        <a:lstStyle/>
        <a:p>
          <a:endParaRPr lang="en-US"/>
        </a:p>
      </dgm:t>
    </dgm:pt>
    <dgm:pt modelId="{4F3651C3-11F1-4999-9C97-C9E9D89F731E}">
      <dgm:prSet/>
      <dgm:spPr/>
      <dgm:t>
        <a:bodyPr/>
        <a:lstStyle/>
        <a:p>
          <a:r>
            <a:rPr lang="en-US" altLang="zh-CN"/>
            <a:t>7</a:t>
          </a:r>
          <a:endParaRPr lang="en-US"/>
        </a:p>
      </dgm:t>
    </dgm:pt>
    <dgm:pt modelId="{D5FB4507-376F-41A1-BB66-3312893B648D}" type="parTrans" cxnId="{C5CFA460-CCED-48FF-966E-693FE7BF0FDF}">
      <dgm:prSet/>
      <dgm:spPr/>
      <dgm:t>
        <a:bodyPr/>
        <a:lstStyle/>
        <a:p>
          <a:r>
            <a:rPr lang="en-US"/>
            <a:t>Office Building</a:t>
          </a:r>
        </a:p>
      </dgm:t>
    </dgm:pt>
    <dgm:pt modelId="{BBCFD821-2EEF-482C-A763-777FCC03FA4A}" type="sibTrans" cxnId="{C5CFA460-CCED-48FF-966E-693FE7BF0FDF}">
      <dgm:prSet/>
      <dgm:spPr/>
      <dgm:t>
        <a:bodyPr/>
        <a:lstStyle/>
        <a:p>
          <a:endParaRPr lang="en-US"/>
        </a:p>
      </dgm:t>
    </dgm:pt>
    <dgm:pt modelId="{C7287A47-B267-4434-804F-F89A20B6C0ED}">
      <dgm:prSet/>
      <dgm:spPr/>
      <dgm:t>
        <a:bodyPr/>
        <a:lstStyle/>
        <a:p>
          <a:r>
            <a:rPr lang="en-US" altLang="zh-CN"/>
            <a:t>8</a:t>
          </a:r>
          <a:endParaRPr lang="en-US"/>
        </a:p>
      </dgm:t>
    </dgm:pt>
    <dgm:pt modelId="{343A0F5C-1293-4530-9A67-DB1933B89D18}" type="parTrans" cxnId="{6C020A51-FF01-4D3A-929F-4E949E0A4310}">
      <dgm:prSet/>
      <dgm:spPr/>
      <dgm:t>
        <a:bodyPr/>
        <a:lstStyle/>
        <a:p>
          <a:r>
            <a:rPr lang="en-US"/>
            <a:t>Warehouse</a:t>
          </a:r>
        </a:p>
      </dgm:t>
    </dgm:pt>
    <dgm:pt modelId="{D998B743-1B58-4D96-BF4A-6B36702A25EF}" type="sibTrans" cxnId="{6C020A51-FF01-4D3A-929F-4E949E0A4310}">
      <dgm:prSet/>
      <dgm:spPr/>
      <dgm:t>
        <a:bodyPr/>
        <a:lstStyle/>
        <a:p>
          <a:endParaRPr lang="en-US"/>
        </a:p>
      </dgm:t>
    </dgm:pt>
    <dgm:pt modelId="{2AC6D161-DCCA-42B5-A109-24D3DDB402D1}">
      <dgm:prSet/>
      <dgm:spPr/>
      <dgm:t>
        <a:bodyPr/>
        <a:lstStyle/>
        <a:p>
          <a:r>
            <a:rPr lang="en-US" b="0" i="0" u="none"/>
            <a:t>$3</a:t>
          </a:r>
          <a:r>
            <a:rPr lang="en-US" altLang="zh-CN" b="0" i="0" u="none"/>
            <a:t>1</a:t>
          </a:r>
          <a:r>
            <a:rPr lang="en-US" b="0" i="0" u="none"/>
            <a:t>0,000</a:t>
          </a:r>
          <a:endParaRPr lang="en-US"/>
        </a:p>
      </dgm:t>
    </dgm:pt>
    <dgm:pt modelId="{03106A06-6838-48AF-8D17-578285C24754}" type="parTrans" cxnId="{BDB7F185-F738-4B48-AD72-CBB3942F167F}">
      <dgm:prSet/>
      <dgm:spPr/>
      <dgm:t>
        <a:bodyPr/>
        <a:lstStyle/>
        <a:p>
          <a:r>
            <a:rPr lang="en-US"/>
            <a:t>Optimistic</a:t>
          </a:r>
        </a:p>
      </dgm:t>
    </dgm:pt>
    <dgm:pt modelId="{7F8DBFE1-8318-4309-81DF-551CFFE71DD4}" type="sibTrans" cxnId="{BDB7F185-F738-4B48-AD72-CBB3942F167F}">
      <dgm:prSet/>
      <dgm:spPr/>
      <dgm:t>
        <a:bodyPr/>
        <a:lstStyle/>
        <a:p>
          <a:endParaRPr lang="en-US"/>
        </a:p>
      </dgm:t>
    </dgm:pt>
    <dgm:pt modelId="{E371DCD9-A949-4EAD-A3A1-DF27C2718F6E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19</a:t>
          </a:r>
          <a:r>
            <a:rPr lang="en-US" b="0" i="0" u="none"/>
            <a:t>0,000</a:t>
          </a:r>
          <a:endParaRPr lang="en-US"/>
        </a:p>
      </dgm:t>
    </dgm:pt>
    <dgm:pt modelId="{6F7DCE2D-A302-44FB-BC3A-673ED3A16D08}" type="parTrans" cxnId="{4CC64369-AA38-4B9A-BDC7-BF19B823D4E3}">
      <dgm:prSet/>
      <dgm:spPr/>
      <dgm:t>
        <a:bodyPr/>
        <a:lstStyle/>
        <a:p>
          <a:endParaRPr lang="en-US"/>
        </a:p>
        <a:p>
          <a:endParaRPr lang="en-US"/>
        </a:p>
        <a:p>
          <a:r>
            <a:rPr lang="en-US"/>
            <a:t>Realistic </a:t>
          </a:r>
        </a:p>
        <a:p>
          <a:endParaRPr lang="en-US"/>
        </a:p>
        <a:p>
          <a:endParaRPr lang="en-US"/>
        </a:p>
      </dgm:t>
    </dgm:pt>
    <dgm:pt modelId="{01E9D717-7B3F-433C-8A89-7FA1C83B1472}" type="sibTrans" cxnId="{4CC64369-AA38-4B9A-BDC7-BF19B823D4E3}">
      <dgm:prSet/>
      <dgm:spPr/>
      <dgm:t>
        <a:bodyPr/>
        <a:lstStyle/>
        <a:p>
          <a:endParaRPr lang="en-US"/>
        </a:p>
      </dgm:t>
    </dgm:pt>
    <dgm:pt modelId="{1D299E28-6E3D-4C76-A20F-E1BA589995E3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120</a:t>
          </a:r>
          <a:r>
            <a:rPr lang="en-US" b="0" i="0" u="none"/>
            <a:t>,000</a:t>
          </a:r>
          <a:endParaRPr lang="en-US"/>
        </a:p>
      </dgm:t>
    </dgm:pt>
    <dgm:pt modelId="{B80FBB11-8805-4A9C-A912-FA4940800097}" type="parTrans" cxnId="{9FD1A532-97E6-4BF7-B6D3-916C7D0F52D4}">
      <dgm:prSet/>
      <dgm:spPr/>
      <dgm:t>
        <a:bodyPr/>
        <a:lstStyle/>
        <a:p>
          <a:r>
            <a:rPr lang="en-US"/>
            <a:t>Pessimistic</a:t>
          </a:r>
        </a:p>
      </dgm:t>
    </dgm:pt>
    <dgm:pt modelId="{6B4EE044-25B5-4D9F-A8DD-406F659E5B59}" type="sibTrans" cxnId="{9FD1A532-97E6-4BF7-B6D3-916C7D0F52D4}">
      <dgm:prSet/>
      <dgm:spPr/>
      <dgm:t>
        <a:bodyPr/>
        <a:lstStyle/>
        <a:p>
          <a:endParaRPr lang="en-US"/>
        </a:p>
      </dgm:t>
    </dgm:pt>
    <dgm:pt modelId="{23DCCBCE-F028-42E8-8B5F-1643C8335B30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42</a:t>
          </a:r>
          <a:r>
            <a:rPr lang="en-US" b="0" i="0" u="none"/>
            <a:t>0,000</a:t>
          </a:r>
          <a:endParaRPr lang="en-US"/>
        </a:p>
      </dgm:t>
    </dgm:pt>
    <dgm:pt modelId="{2018CD79-6097-4D9B-809D-D50F800D8303}" type="parTrans" cxnId="{A3036F08-30FA-429E-BFE8-0029ED3F175D}">
      <dgm:prSet/>
      <dgm:spPr/>
      <dgm:t>
        <a:bodyPr/>
        <a:lstStyle/>
        <a:p>
          <a:r>
            <a:rPr lang="en-US"/>
            <a:t>Optimistic</a:t>
          </a:r>
        </a:p>
      </dgm:t>
    </dgm:pt>
    <dgm:pt modelId="{5A0FA034-8208-48AF-8383-0CD051E8956A}" type="sibTrans" cxnId="{A3036F08-30FA-429E-BFE8-0029ED3F175D}">
      <dgm:prSet/>
      <dgm:spPr/>
      <dgm:t>
        <a:bodyPr/>
        <a:lstStyle/>
        <a:p>
          <a:endParaRPr lang="en-US"/>
        </a:p>
      </dgm:t>
    </dgm:pt>
    <dgm:pt modelId="{DCF95453-63B0-47AD-871B-2720D73E1ABA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3</a:t>
          </a:r>
          <a:r>
            <a:rPr lang="en-US" b="0" i="0" u="none"/>
            <a:t>40,000</a:t>
          </a:r>
          <a:endParaRPr lang="en-US"/>
        </a:p>
      </dgm:t>
    </dgm:pt>
    <dgm:pt modelId="{6A955C3C-D9E1-4270-A291-190A21CDA6C3}" type="parTrans" cxnId="{8B0952E0-07E2-49BB-A31C-0888745E5745}">
      <dgm:prSet/>
      <dgm:spPr/>
      <dgm:t>
        <a:bodyPr/>
        <a:lstStyle/>
        <a:p>
          <a:r>
            <a:rPr lang="en-US"/>
            <a:t>Optimistic</a:t>
          </a:r>
        </a:p>
      </dgm:t>
    </dgm:pt>
    <dgm:pt modelId="{1D947C41-B7A8-4DEC-A3EE-CA87F8A69EB3}" type="sibTrans" cxnId="{8B0952E0-07E2-49BB-A31C-0888745E5745}">
      <dgm:prSet/>
      <dgm:spPr/>
      <dgm:t>
        <a:bodyPr/>
        <a:lstStyle/>
        <a:p>
          <a:endParaRPr lang="en-US"/>
        </a:p>
      </dgm:t>
    </dgm:pt>
    <dgm:pt modelId="{FD9B5D5D-839E-4F30-86B0-9114B14E2762}">
      <dgm:prSet/>
      <dgm:spPr/>
      <dgm:t>
        <a:bodyPr/>
        <a:lstStyle/>
        <a:p>
          <a:r>
            <a:rPr lang="en-US" altLang="zh-CN"/>
            <a:t>10</a:t>
          </a:r>
          <a:endParaRPr lang="en-US"/>
        </a:p>
      </dgm:t>
    </dgm:pt>
    <dgm:pt modelId="{1FFD5BF2-2C7D-4F2D-9CA7-5994498F4EBE}" type="parTrans" cxnId="{B7E2EA7C-F9EE-457A-9241-AC52EFD442B5}">
      <dgm:prSet/>
      <dgm:spPr/>
      <dgm:t>
        <a:bodyPr/>
        <a:lstStyle/>
        <a:p>
          <a:r>
            <a:rPr lang="en-US"/>
            <a:t>Office Building</a:t>
          </a:r>
        </a:p>
        <a:p>
          <a:endParaRPr lang="en-US"/>
        </a:p>
      </dgm:t>
    </dgm:pt>
    <dgm:pt modelId="{AFA69E0A-0B54-4750-A461-74B7CC167D7A}" type="sibTrans" cxnId="{B7E2EA7C-F9EE-457A-9241-AC52EFD442B5}">
      <dgm:prSet/>
      <dgm:spPr/>
      <dgm:t>
        <a:bodyPr/>
        <a:lstStyle/>
        <a:p>
          <a:endParaRPr lang="en-US"/>
        </a:p>
      </dgm:t>
    </dgm:pt>
    <dgm:pt modelId="{D3E7ADEE-6B49-40CD-9CD7-404C7E63773B}">
      <dgm:prSet/>
      <dgm:spPr/>
      <dgm:t>
        <a:bodyPr/>
        <a:lstStyle/>
        <a:p>
          <a:r>
            <a:rPr lang="en-US" altLang="zh-CN"/>
            <a:t>11</a:t>
          </a:r>
          <a:endParaRPr lang="en-US"/>
        </a:p>
      </dgm:t>
    </dgm:pt>
    <dgm:pt modelId="{D855C096-070D-4969-BE53-B524E43DC3FA}" type="parTrans" cxnId="{24AAA60C-C3D2-46ED-8011-574DDACFDBDB}">
      <dgm:prSet/>
      <dgm:spPr/>
      <dgm:t>
        <a:bodyPr/>
        <a:lstStyle/>
        <a:p>
          <a:r>
            <a:rPr lang="en-US"/>
            <a:t>Warehouse</a:t>
          </a:r>
        </a:p>
      </dgm:t>
    </dgm:pt>
    <dgm:pt modelId="{44A54C45-493E-4678-8557-0CE9D4A8D15E}" type="sibTrans" cxnId="{24AAA60C-C3D2-46ED-8011-574DDACFDBDB}">
      <dgm:prSet/>
      <dgm:spPr/>
      <dgm:t>
        <a:bodyPr/>
        <a:lstStyle/>
        <a:p>
          <a:endParaRPr lang="en-US"/>
        </a:p>
      </dgm:t>
    </dgm:pt>
    <dgm:pt modelId="{D1930453-F5C7-42C3-9E79-314D2F13E0D5}">
      <dgm:prSet/>
      <dgm:spPr/>
      <dgm:t>
        <a:bodyPr/>
        <a:lstStyle/>
        <a:p>
          <a:r>
            <a:rPr lang="en-US" b="0" i="0" u="none"/>
            <a:t>$3</a:t>
          </a:r>
          <a:r>
            <a:rPr lang="en-US" altLang="zh-CN" b="0" i="0" u="none"/>
            <a:t>03</a:t>
          </a:r>
          <a:r>
            <a:rPr lang="en-US" b="0" i="0" u="none"/>
            <a:t>,000</a:t>
          </a:r>
          <a:endParaRPr lang="en-US"/>
        </a:p>
      </dgm:t>
    </dgm:pt>
    <dgm:pt modelId="{523008B3-375E-4F76-8BBA-F0C5DD8AAD7C}" type="parTrans" cxnId="{8F2A61F3-C499-4C39-BBB6-9103B462F4E3}">
      <dgm:prSet/>
      <dgm:spPr/>
      <dgm:t>
        <a:bodyPr/>
        <a:lstStyle/>
        <a:p>
          <a:r>
            <a:rPr lang="en-US"/>
            <a:t>Optimistic</a:t>
          </a:r>
        </a:p>
      </dgm:t>
    </dgm:pt>
    <dgm:pt modelId="{E44C2C15-0C10-48C1-84AB-D27FF8B4FE10}" type="sibTrans" cxnId="{8F2A61F3-C499-4C39-BBB6-9103B462F4E3}">
      <dgm:prSet/>
      <dgm:spPr/>
      <dgm:t>
        <a:bodyPr/>
        <a:lstStyle/>
        <a:p>
          <a:endParaRPr lang="en-US"/>
        </a:p>
      </dgm:t>
    </dgm:pt>
    <dgm:pt modelId="{E83105C4-C03D-4F52-A3E0-4D891D29C2CA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183</a:t>
          </a:r>
          <a:r>
            <a:rPr lang="en-US" b="0" i="0" u="none"/>
            <a:t>,000</a:t>
          </a:r>
          <a:endParaRPr lang="en-US"/>
        </a:p>
      </dgm:t>
    </dgm:pt>
    <dgm:pt modelId="{51A25E72-2ABD-4D0A-8ECD-DA12FFBEA455}" type="parTrans" cxnId="{F9E572FE-E804-4938-99A7-C6A375E75B09}">
      <dgm:prSet/>
      <dgm:spPr/>
      <dgm:t>
        <a:bodyPr/>
        <a:lstStyle/>
        <a:p>
          <a:r>
            <a:rPr lang="en-US"/>
            <a:t>Realistic </a:t>
          </a:r>
        </a:p>
      </dgm:t>
    </dgm:pt>
    <dgm:pt modelId="{8F832576-1CAB-462B-BC01-3841709A302B}" type="sibTrans" cxnId="{F9E572FE-E804-4938-99A7-C6A375E75B09}">
      <dgm:prSet/>
      <dgm:spPr/>
      <dgm:t>
        <a:bodyPr/>
        <a:lstStyle/>
        <a:p>
          <a:endParaRPr lang="en-US"/>
        </a:p>
      </dgm:t>
    </dgm:pt>
    <dgm:pt modelId="{9EA212E2-6339-4EA2-815D-C5DA219B878C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127</a:t>
          </a:r>
          <a:r>
            <a:rPr lang="en-US" b="0" i="0" u="none"/>
            <a:t>,000</a:t>
          </a:r>
          <a:endParaRPr lang="en-US"/>
        </a:p>
      </dgm:t>
    </dgm:pt>
    <dgm:pt modelId="{93F8D4F0-77A9-4A3E-8D5A-D4A589BC3298}" type="parTrans" cxnId="{163F730A-4C94-4F66-9173-C72026EBC983}">
      <dgm:prSet/>
      <dgm:spPr/>
      <dgm:t>
        <a:bodyPr/>
        <a:lstStyle/>
        <a:p>
          <a:r>
            <a:rPr lang="en-US"/>
            <a:t>Pessimistic</a:t>
          </a:r>
        </a:p>
      </dgm:t>
    </dgm:pt>
    <dgm:pt modelId="{13DF32CD-8E50-4A1E-AAE7-915A5BE8DC8A}" type="sibTrans" cxnId="{163F730A-4C94-4F66-9173-C72026EBC983}">
      <dgm:prSet/>
      <dgm:spPr/>
      <dgm:t>
        <a:bodyPr/>
        <a:lstStyle/>
        <a:p>
          <a:endParaRPr lang="en-US"/>
        </a:p>
      </dgm:t>
    </dgm:pt>
    <dgm:pt modelId="{3D845190-CFA5-4D1E-909A-7494C8479E8D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413</a:t>
          </a:r>
          <a:r>
            <a:rPr lang="en-US" b="0" i="0" u="none"/>
            <a:t>,000</a:t>
          </a:r>
          <a:endParaRPr lang="en-US"/>
        </a:p>
      </dgm:t>
    </dgm:pt>
    <dgm:pt modelId="{3035FD77-4B1A-4E8B-8236-2F85296C8E90}" type="parTrans" cxnId="{93D6D61D-EA96-4E83-92E6-F77F002A4661}">
      <dgm:prSet/>
      <dgm:spPr/>
      <dgm:t>
        <a:bodyPr/>
        <a:lstStyle/>
        <a:p>
          <a:r>
            <a:rPr lang="en-US"/>
            <a:t>Optimistic</a:t>
          </a:r>
        </a:p>
      </dgm:t>
    </dgm:pt>
    <dgm:pt modelId="{472DC6B0-31C6-48CC-B081-E1980079B826}" type="sibTrans" cxnId="{93D6D61D-EA96-4E83-92E6-F77F002A4661}">
      <dgm:prSet/>
      <dgm:spPr/>
      <dgm:t>
        <a:bodyPr/>
        <a:lstStyle/>
        <a:p>
          <a:endParaRPr lang="en-US"/>
        </a:p>
      </dgm:t>
    </dgm:pt>
    <dgm:pt modelId="{BC62E15A-F4EB-4352-B053-AAE3728D5460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313</a:t>
          </a:r>
          <a:r>
            <a:rPr lang="en-US" b="0" i="0" u="none"/>
            <a:t>,000</a:t>
          </a:r>
          <a:endParaRPr lang="en-US"/>
        </a:p>
      </dgm:t>
    </dgm:pt>
    <dgm:pt modelId="{C46BB5C1-4D23-40BC-A2DD-20BE88D59E54}" type="parTrans" cxnId="{D9F3F383-3401-4EE8-8F4B-157B1DECDA8B}">
      <dgm:prSet/>
      <dgm:spPr/>
      <dgm:t>
        <a:bodyPr/>
        <a:lstStyle/>
        <a:p>
          <a:r>
            <a:rPr lang="en-US"/>
            <a:t>Realistic </a:t>
          </a:r>
        </a:p>
      </dgm:t>
    </dgm:pt>
    <dgm:pt modelId="{D0F6AE7E-069C-4CD3-A74E-D5D077C4E619}" type="sibTrans" cxnId="{D9F3F383-3401-4EE8-8F4B-157B1DECDA8B}">
      <dgm:prSet/>
      <dgm:spPr/>
      <dgm:t>
        <a:bodyPr/>
        <a:lstStyle/>
        <a:p>
          <a:endParaRPr lang="en-US"/>
        </a:p>
      </dgm:t>
    </dgm:pt>
    <dgm:pt modelId="{2851900C-3997-49EB-95B8-E454017448F2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87</a:t>
          </a:r>
          <a:r>
            <a:rPr lang="en-US" b="0" i="0" u="none"/>
            <a:t>,000</a:t>
          </a:r>
          <a:endParaRPr lang="en-US"/>
        </a:p>
      </dgm:t>
    </dgm:pt>
    <dgm:pt modelId="{EBC51BF5-E543-4D47-8CB2-7C2F52A789BC}" type="parTrans" cxnId="{504F021D-0157-43C2-B43A-0E9C9CE640F0}">
      <dgm:prSet/>
      <dgm:spPr/>
      <dgm:t>
        <a:bodyPr/>
        <a:lstStyle/>
        <a:p>
          <a:r>
            <a:rPr lang="en-US"/>
            <a:t>Pessimistic</a:t>
          </a:r>
        </a:p>
      </dgm:t>
    </dgm:pt>
    <dgm:pt modelId="{AA42159D-42EE-4687-AF6D-4B56C5C98F95}" type="sibTrans" cxnId="{504F021D-0157-43C2-B43A-0E9C9CE640F0}">
      <dgm:prSet/>
      <dgm:spPr/>
      <dgm:t>
        <a:bodyPr/>
        <a:lstStyle/>
        <a:p>
          <a:endParaRPr lang="en-US"/>
        </a:p>
      </dgm:t>
    </dgm:pt>
    <dgm:pt modelId="{F3CF47C3-2823-4766-BEB5-BEEFE850A97E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333</a:t>
          </a:r>
          <a:r>
            <a:rPr lang="en-US" b="0" i="0" u="none"/>
            <a:t>,000</a:t>
          </a:r>
          <a:endParaRPr lang="en-US"/>
        </a:p>
      </dgm:t>
    </dgm:pt>
    <dgm:pt modelId="{D035E1AB-C8C5-4747-A411-5761CFE0EB75}" type="parTrans" cxnId="{F6A8CA1A-399C-40B7-8699-16D25A5ACC6F}">
      <dgm:prSet/>
      <dgm:spPr/>
      <dgm:t>
        <a:bodyPr/>
        <a:lstStyle/>
        <a:p>
          <a:r>
            <a:rPr lang="en-US"/>
            <a:t>Optimistic</a:t>
          </a:r>
        </a:p>
        <a:p>
          <a:endParaRPr lang="en-US"/>
        </a:p>
      </dgm:t>
    </dgm:pt>
    <dgm:pt modelId="{EB65DD78-E0BF-493E-9777-2D14F8C3B94D}" type="sibTrans" cxnId="{F6A8CA1A-399C-40B7-8699-16D25A5ACC6F}">
      <dgm:prSet/>
      <dgm:spPr/>
      <dgm:t>
        <a:bodyPr/>
        <a:lstStyle/>
        <a:p>
          <a:endParaRPr lang="en-US"/>
        </a:p>
      </dgm:t>
    </dgm:pt>
    <dgm:pt modelId="{83417E98-F476-40F5-9F4B-5FEA4F0A80B0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203</a:t>
          </a:r>
          <a:r>
            <a:rPr lang="en-US" b="0" i="0" u="none"/>
            <a:t>,000</a:t>
          </a:r>
          <a:endParaRPr lang="en-US"/>
        </a:p>
      </dgm:t>
    </dgm:pt>
    <dgm:pt modelId="{670E79AA-D64C-4236-B240-551A32235EAB}" type="parTrans" cxnId="{4F9CC109-566F-4FA1-9E01-4A7C22CB63D7}">
      <dgm:prSet/>
      <dgm:spPr/>
      <dgm:t>
        <a:bodyPr/>
        <a:lstStyle/>
        <a:p>
          <a:r>
            <a:rPr lang="en-US"/>
            <a:t>Realistic</a:t>
          </a:r>
        </a:p>
      </dgm:t>
    </dgm:pt>
    <dgm:pt modelId="{63DC83C7-7E33-4BB2-B011-0072BEC8DDC9}" type="sibTrans" cxnId="{4F9CC109-566F-4FA1-9E01-4A7C22CB63D7}">
      <dgm:prSet/>
      <dgm:spPr/>
      <dgm:t>
        <a:bodyPr/>
        <a:lstStyle/>
        <a:p>
          <a:endParaRPr lang="en-US"/>
        </a:p>
      </dgm:t>
    </dgm:pt>
    <dgm:pt modelId="{CE73F15F-8269-4875-806A-F260B144D0C8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227</a:t>
          </a:r>
          <a:r>
            <a:rPr lang="en-US" b="0" i="0" u="none"/>
            <a:t>,000</a:t>
          </a:r>
          <a:endParaRPr lang="en-US"/>
        </a:p>
      </dgm:t>
    </dgm:pt>
    <dgm:pt modelId="{7F117EB2-8294-4C07-B90A-53C89D0FC749}" type="parTrans" cxnId="{FAC3D9B5-F706-494E-A624-181B4DBED477}">
      <dgm:prSet/>
      <dgm:spPr/>
      <dgm:t>
        <a:bodyPr/>
        <a:lstStyle/>
        <a:p>
          <a:r>
            <a:rPr lang="en-US"/>
            <a:t>Pessimistic</a:t>
          </a:r>
        </a:p>
      </dgm:t>
    </dgm:pt>
    <dgm:pt modelId="{2E71B9B0-07A8-4A71-8708-8F6353811895}" type="sibTrans" cxnId="{FAC3D9B5-F706-494E-A624-181B4DBED477}">
      <dgm:prSet/>
      <dgm:spPr/>
      <dgm:t>
        <a:bodyPr/>
        <a:lstStyle/>
        <a:p>
          <a:endParaRPr lang="en-US"/>
        </a:p>
      </dgm:t>
    </dgm:pt>
    <dgm:pt modelId="{A881F125-10A4-4D7D-9ECA-E45E5A54C620}">
      <dgm:prSet/>
      <dgm:spPr/>
      <dgm:t>
        <a:bodyPr/>
        <a:lstStyle/>
        <a:p>
          <a:r>
            <a:rPr lang="en-US" b="0" i="0" u="none"/>
            <a:t>$3</a:t>
          </a:r>
          <a:r>
            <a:rPr lang="en-US" altLang="zh-CN" b="0" i="0" u="none"/>
            <a:t>03</a:t>
          </a:r>
          <a:r>
            <a:rPr lang="en-US" b="0" i="0" u="none"/>
            <a:t>,000</a:t>
          </a:r>
          <a:endParaRPr lang="en-US"/>
        </a:p>
      </dgm:t>
    </dgm:pt>
    <dgm:pt modelId="{A738FA26-A880-4D1F-A246-B67FD8CF23B8}" type="parTrans" cxnId="{F241EC1D-41DE-4BB2-A03B-DB3A5D36B61B}">
      <dgm:prSet/>
      <dgm:spPr/>
      <dgm:t>
        <a:bodyPr/>
        <a:lstStyle/>
        <a:p>
          <a:r>
            <a:rPr lang="en-US"/>
            <a:t>Optimistic</a:t>
          </a:r>
        </a:p>
        <a:p>
          <a:endParaRPr lang="en-US"/>
        </a:p>
      </dgm:t>
    </dgm:pt>
    <dgm:pt modelId="{D0177AB6-8737-4A3F-8AB0-C5CCBC2604EB}" type="sibTrans" cxnId="{F241EC1D-41DE-4BB2-A03B-DB3A5D36B61B}">
      <dgm:prSet/>
      <dgm:spPr/>
      <dgm:t>
        <a:bodyPr/>
        <a:lstStyle/>
        <a:p>
          <a:endParaRPr lang="en-US"/>
        </a:p>
      </dgm:t>
    </dgm:pt>
    <dgm:pt modelId="{1181B2BD-2F74-4A6F-B08D-D94DA96A549E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183</a:t>
          </a:r>
          <a:r>
            <a:rPr lang="en-US" b="0" i="0" u="none"/>
            <a:t>,000</a:t>
          </a:r>
          <a:endParaRPr lang="en-US"/>
        </a:p>
      </dgm:t>
    </dgm:pt>
    <dgm:pt modelId="{CF855B15-9778-4A78-9E1F-A895BA1F7E9E}" type="parTrans" cxnId="{3E1E47AA-2BF2-4BE9-A073-6EDE2EE49649}">
      <dgm:prSet/>
      <dgm:spPr/>
      <dgm:t>
        <a:bodyPr/>
        <a:lstStyle/>
        <a:p>
          <a:r>
            <a:rPr lang="en-US"/>
            <a:t>Realistic</a:t>
          </a:r>
        </a:p>
        <a:p>
          <a:endParaRPr lang="en-US"/>
        </a:p>
      </dgm:t>
    </dgm:pt>
    <dgm:pt modelId="{CB01C3A9-CA5C-4D03-8799-DA16D81C702C}" type="sibTrans" cxnId="{3E1E47AA-2BF2-4BE9-A073-6EDE2EE49649}">
      <dgm:prSet/>
      <dgm:spPr/>
      <dgm:t>
        <a:bodyPr/>
        <a:lstStyle/>
        <a:p>
          <a:endParaRPr lang="en-US"/>
        </a:p>
      </dgm:t>
    </dgm:pt>
    <dgm:pt modelId="{3C605B6A-2C20-41F4-A7AB-77B828D98A83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127</a:t>
          </a:r>
          <a:r>
            <a:rPr lang="en-US" b="0" i="0" u="none"/>
            <a:t>,000</a:t>
          </a:r>
          <a:endParaRPr lang="en-US"/>
        </a:p>
      </dgm:t>
    </dgm:pt>
    <dgm:pt modelId="{076A39E7-AFB9-4773-A4EF-CEC14A0AAE35}" type="parTrans" cxnId="{A7D23F77-C7DB-4E47-8A6B-EB5EBD403A9F}">
      <dgm:prSet/>
      <dgm:spPr/>
      <dgm:t>
        <a:bodyPr/>
        <a:lstStyle/>
        <a:p>
          <a:r>
            <a:rPr lang="en-US"/>
            <a:t>Pessimistic</a:t>
          </a:r>
        </a:p>
      </dgm:t>
    </dgm:pt>
    <dgm:pt modelId="{1AA0C578-0FD2-4F69-BD98-64079A1C18F8}" type="sibTrans" cxnId="{A7D23F77-C7DB-4E47-8A6B-EB5EBD403A9F}">
      <dgm:prSet/>
      <dgm:spPr/>
      <dgm:t>
        <a:bodyPr/>
        <a:lstStyle/>
        <a:p>
          <a:endParaRPr lang="en-US"/>
        </a:p>
      </dgm:t>
    </dgm:pt>
    <dgm:pt modelId="{3C71D43B-8424-4435-B6D3-1CAC6F02560A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413</a:t>
          </a:r>
          <a:r>
            <a:rPr lang="en-US" b="0" i="0" u="none"/>
            <a:t>,000</a:t>
          </a:r>
          <a:endParaRPr lang="en-US"/>
        </a:p>
      </dgm:t>
    </dgm:pt>
    <dgm:pt modelId="{8B919FA7-2DDC-49A6-AACC-5AABC5BD57A8}" type="parTrans" cxnId="{172B340B-53BE-4A65-BBC7-6767E95E501F}">
      <dgm:prSet/>
      <dgm:spPr/>
      <dgm:t>
        <a:bodyPr/>
        <a:lstStyle/>
        <a:p>
          <a:r>
            <a:rPr lang="en-US"/>
            <a:t>Optimistic</a:t>
          </a:r>
        </a:p>
        <a:p>
          <a:endParaRPr lang="en-US"/>
        </a:p>
      </dgm:t>
    </dgm:pt>
    <dgm:pt modelId="{59BCA33E-3F82-4D3D-A251-D6892887A9CA}" type="sibTrans" cxnId="{172B340B-53BE-4A65-BBC7-6767E95E501F}">
      <dgm:prSet/>
      <dgm:spPr/>
      <dgm:t>
        <a:bodyPr/>
        <a:lstStyle/>
        <a:p>
          <a:endParaRPr lang="en-US"/>
        </a:p>
      </dgm:t>
    </dgm:pt>
    <dgm:pt modelId="{7D8374CC-B2E7-450E-82B6-6AEE3F21BCB7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313</a:t>
          </a:r>
          <a:r>
            <a:rPr lang="en-US" b="0" i="0" u="none"/>
            <a:t>,000</a:t>
          </a:r>
          <a:endParaRPr lang="en-US"/>
        </a:p>
      </dgm:t>
    </dgm:pt>
    <dgm:pt modelId="{4472B684-3403-4242-8F8A-19D17B7E3BA4}" type="parTrans" cxnId="{21082320-AA9C-462C-9D1E-63971BE9D482}">
      <dgm:prSet/>
      <dgm:spPr/>
      <dgm:t>
        <a:bodyPr/>
        <a:lstStyle/>
        <a:p>
          <a:r>
            <a:rPr lang="en-US"/>
            <a:t>Realistic</a:t>
          </a:r>
        </a:p>
      </dgm:t>
    </dgm:pt>
    <dgm:pt modelId="{C2BD165A-4529-4029-92BD-C368355267EF}" type="sibTrans" cxnId="{21082320-AA9C-462C-9D1E-63971BE9D482}">
      <dgm:prSet/>
      <dgm:spPr/>
      <dgm:t>
        <a:bodyPr/>
        <a:lstStyle/>
        <a:p>
          <a:endParaRPr lang="en-US"/>
        </a:p>
      </dgm:t>
    </dgm:pt>
    <dgm:pt modelId="{EF14C6D9-354A-40A8-AED3-66A309EA9A1C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87</a:t>
          </a:r>
          <a:r>
            <a:rPr lang="en-US" b="0" i="0" u="none"/>
            <a:t>,000</a:t>
          </a:r>
          <a:endParaRPr lang="en-US"/>
        </a:p>
      </dgm:t>
    </dgm:pt>
    <dgm:pt modelId="{7684DF46-84D8-4C50-8A9F-31EA8213FB8F}" type="parTrans" cxnId="{03FF962A-8B3D-432E-814D-97F3FE2DD0AC}">
      <dgm:prSet/>
      <dgm:spPr/>
      <dgm:t>
        <a:bodyPr/>
        <a:lstStyle/>
        <a:p>
          <a:r>
            <a:rPr lang="en-US"/>
            <a:t>Pessimistic</a:t>
          </a:r>
        </a:p>
      </dgm:t>
    </dgm:pt>
    <dgm:pt modelId="{883697A3-5A1B-4BAA-968F-DC5A4B01102E}" type="sibTrans" cxnId="{03FF962A-8B3D-432E-814D-97F3FE2DD0AC}">
      <dgm:prSet/>
      <dgm:spPr/>
      <dgm:t>
        <a:bodyPr/>
        <a:lstStyle/>
        <a:p>
          <a:endParaRPr lang="en-US"/>
        </a:p>
      </dgm:t>
    </dgm:pt>
    <dgm:pt modelId="{D915F904-124A-4839-B2F4-C2FB5E728311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203</a:t>
          </a:r>
          <a:r>
            <a:rPr lang="en-US" b="0" i="0" u="none"/>
            <a:t>,000</a:t>
          </a:r>
          <a:endParaRPr lang="en-US"/>
        </a:p>
      </dgm:t>
    </dgm:pt>
    <dgm:pt modelId="{60765861-58B4-4477-8066-795E56DB82E3}" type="parTrans" cxnId="{37ECF853-AD3C-45B0-A29F-B0FEF3A309BB}">
      <dgm:prSet/>
      <dgm:spPr/>
      <dgm:t>
        <a:bodyPr/>
        <a:lstStyle/>
        <a:p>
          <a:r>
            <a:rPr lang="en-US"/>
            <a:t>Realistic</a:t>
          </a:r>
        </a:p>
      </dgm:t>
    </dgm:pt>
    <dgm:pt modelId="{A11A8DA9-AFF3-4FCE-B1DA-9B800D8FBE9E}" type="sibTrans" cxnId="{37ECF853-AD3C-45B0-A29F-B0FEF3A309BB}">
      <dgm:prSet/>
      <dgm:spPr/>
      <dgm:t>
        <a:bodyPr/>
        <a:lstStyle/>
        <a:p>
          <a:endParaRPr lang="en-US"/>
        </a:p>
      </dgm:t>
    </dgm:pt>
    <dgm:pt modelId="{6F7E3DE7-8B44-472A-B5F7-7882D8D63FD2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227</a:t>
          </a:r>
          <a:r>
            <a:rPr lang="en-US" b="0" i="0" u="none"/>
            <a:t>,000</a:t>
          </a:r>
          <a:endParaRPr lang="en-US"/>
        </a:p>
      </dgm:t>
    </dgm:pt>
    <dgm:pt modelId="{2B930E41-CF0D-4952-8173-9F948B6566BA}" type="parTrans" cxnId="{FE0085FC-5850-451B-9344-326171258F9C}">
      <dgm:prSet/>
      <dgm:spPr/>
      <dgm:t>
        <a:bodyPr/>
        <a:lstStyle/>
        <a:p>
          <a:r>
            <a:rPr lang="en-US"/>
            <a:t>Pessimistic</a:t>
          </a:r>
        </a:p>
      </dgm:t>
    </dgm:pt>
    <dgm:pt modelId="{ECF87BCA-0628-48B3-A239-605819842BD7}" type="sibTrans" cxnId="{FE0085FC-5850-451B-9344-326171258F9C}">
      <dgm:prSet/>
      <dgm:spPr/>
      <dgm:t>
        <a:bodyPr/>
        <a:lstStyle/>
        <a:p>
          <a:endParaRPr lang="en-US"/>
        </a:p>
      </dgm:t>
    </dgm:pt>
    <dgm:pt modelId="{196C8E07-E715-4737-B28C-11F676D62027}">
      <dgm:prSet phldrT="[Text]"/>
      <dgm:spPr/>
      <dgm:t>
        <a:bodyPr/>
        <a:lstStyle/>
        <a:p>
          <a:r>
            <a:rPr lang="en-US"/>
            <a:t>3</a:t>
          </a:r>
        </a:p>
      </dgm:t>
    </dgm:pt>
    <dgm:pt modelId="{62489ABD-CD88-4CA4-8FBF-E5D19655A799}" type="sibTrans" cxnId="{37378E64-160A-43F4-BD31-26E9DB9A15AD}">
      <dgm:prSet/>
      <dgm:spPr/>
      <dgm:t>
        <a:bodyPr/>
        <a:lstStyle/>
        <a:p>
          <a:endParaRPr lang="en-US"/>
        </a:p>
      </dgm:t>
    </dgm:pt>
    <dgm:pt modelId="{4AF7A8F7-7B45-417F-AC91-AF7BBA136027}" type="parTrans" cxnId="{37378E64-160A-43F4-BD31-26E9DB9A15AD}">
      <dgm:prSet/>
      <dgm:spPr/>
      <dgm:t>
        <a:bodyPr/>
        <a:lstStyle/>
        <a:p>
          <a:r>
            <a:rPr lang="en-US"/>
            <a:t>Do not hire Business Analyst</a:t>
          </a:r>
        </a:p>
      </dgm:t>
    </dgm:pt>
    <dgm:pt modelId="{1DB5717F-A067-4B24-B095-AD69793DE2A0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32</a:t>
          </a:r>
          <a:r>
            <a:rPr lang="en-US" b="0" i="0" u="none"/>
            <a:t>0,000</a:t>
          </a:r>
          <a:endParaRPr lang="en-US"/>
        </a:p>
      </dgm:t>
    </dgm:pt>
    <dgm:pt modelId="{D1F02D62-6E6E-402E-86BF-665AE1670C2E}" type="sibTrans" cxnId="{26241E65-4C60-4828-BA65-009C0CBF9305}">
      <dgm:prSet/>
      <dgm:spPr/>
      <dgm:t>
        <a:bodyPr/>
        <a:lstStyle/>
        <a:p>
          <a:endParaRPr lang="en-US"/>
        </a:p>
      </dgm:t>
    </dgm:pt>
    <dgm:pt modelId="{75310083-4F19-470B-8F9C-6F46CBF57AEA}" type="parTrans" cxnId="{26241E65-4C60-4828-BA65-009C0CBF9305}">
      <dgm:prSet/>
      <dgm:spPr/>
      <dgm:t>
        <a:bodyPr/>
        <a:lstStyle/>
        <a:p>
          <a:r>
            <a:rPr lang="en-US"/>
            <a:t>Realistic </a:t>
          </a:r>
        </a:p>
      </dgm:t>
    </dgm:pt>
    <dgm:pt modelId="{F28671D9-9F70-4533-AC41-3C7BBC4B6695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8</a:t>
          </a:r>
          <a:r>
            <a:rPr lang="en-US" b="0" i="0" u="none"/>
            <a:t>,000</a:t>
          </a:r>
          <a:endParaRPr lang="en-US"/>
        </a:p>
      </dgm:t>
    </dgm:pt>
    <dgm:pt modelId="{CC7AACB8-7C72-4717-9738-535587C6F533}" type="sibTrans" cxnId="{8E9402CA-98A5-4BEF-B004-741CDAB57A8D}">
      <dgm:prSet/>
      <dgm:spPr/>
      <dgm:t>
        <a:bodyPr/>
        <a:lstStyle/>
        <a:p>
          <a:endParaRPr lang="en-US"/>
        </a:p>
      </dgm:t>
    </dgm:pt>
    <dgm:pt modelId="{53A52689-7D8D-43BE-8460-52A96790E5EB}" type="parTrans" cxnId="{8E9402CA-98A5-4BEF-B004-741CDAB57A8D}">
      <dgm:prSet/>
      <dgm:spPr/>
      <dgm:t>
        <a:bodyPr/>
        <a:lstStyle/>
        <a:p>
          <a:r>
            <a:rPr lang="en-US"/>
            <a:t>Pessimistic</a:t>
          </a:r>
        </a:p>
      </dgm:t>
    </dgm:pt>
    <dgm:pt modelId="{B5429C33-7AA3-47F1-B923-FAF0F36A60FF}">
      <dgm:prSet/>
      <dgm:spPr/>
      <dgm:t>
        <a:bodyPr/>
        <a:lstStyle/>
        <a:p>
          <a:r>
            <a:rPr lang="en-US" b="0" i="0" u="none"/>
            <a:t>$</a:t>
          </a:r>
          <a:r>
            <a:rPr lang="en-US" altLang="zh-CN" b="0" i="0" u="none"/>
            <a:t>21</a:t>
          </a:r>
          <a:r>
            <a:rPr lang="en-US" b="0" i="0" u="none"/>
            <a:t>0,000</a:t>
          </a:r>
          <a:endParaRPr lang="en-US"/>
        </a:p>
      </dgm:t>
    </dgm:pt>
    <dgm:pt modelId="{2C1EE17B-796E-4A8B-BD74-1CA5AF6AF1DC}" type="sibTrans" cxnId="{70B5B21F-1C47-4B8C-B53C-39020A12A068}">
      <dgm:prSet/>
      <dgm:spPr/>
      <dgm:t>
        <a:bodyPr/>
        <a:lstStyle/>
        <a:p>
          <a:endParaRPr lang="en-US"/>
        </a:p>
      </dgm:t>
    </dgm:pt>
    <dgm:pt modelId="{F380FF1E-9A6F-4DDB-8709-897C754CEA8B}" type="parTrans" cxnId="{70B5B21F-1C47-4B8C-B53C-39020A12A068}">
      <dgm:prSet/>
      <dgm:spPr/>
      <dgm:t>
        <a:bodyPr/>
        <a:lstStyle/>
        <a:p>
          <a:r>
            <a:rPr lang="en-US"/>
            <a:t>Realistic </a:t>
          </a:r>
        </a:p>
      </dgm:t>
    </dgm:pt>
    <dgm:pt modelId="{00E8A4D1-06E3-44BE-A4A6-D6893F3B4454}">
      <dgm:prSet/>
      <dgm:spPr/>
      <dgm:t>
        <a:bodyPr/>
        <a:lstStyle/>
        <a:p>
          <a:r>
            <a:rPr lang="en-US" b="0" i="0" u="none"/>
            <a:t>-$</a:t>
          </a:r>
          <a:r>
            <a:rPr lang="en-US" altLang="zh-CN" b="0" i="0" u="none"/>
            <a:t>22</a:t>
          </a:r>
          <a:r>
            <a:rPr lang="en-US" b="0" i="0" u="none"/>
            <a:t>0,000</a:t>
          </a:r>
          <a:endParaRPr lang="en-US"/>
        </a:p>
      </dgm:t>
    </dgm:pt>
    <dgm:pt modelId="{3CD044C9-28F8-41D0-8150-61E5F8A0A662}" type="sibTrans" cxnId="{081C996E-6C68-4A57-BFC8-5D8DBFE05547}">
      <dgm:prSet/>
      <dgm:spPr/>
      <dgm:t>
        <a:bodyPr/>
        <a:lstStyle/>
        <a:p>
          <a:endParaRPr lang="en-US"/>
        </a:p>
      </dgm:t>
    </dgm:pt>
    <dgm:pt modelId="{FCE94570-B2A5-49F6-A781-22E257AC97E3}" type="parTrans" cxnId="{081C996E-6C68-4A57-BFC8-5D8DBFE05547}">
      <dgm:prSet/>
      <dgm:spPr/>
      <dgm:t>
        <a:bodyPr/>
        <a:lstStyle/>
        <a:p>
          <a:r>
            <a:rPr lang="en-US"/>
            <a:t>Pessimistic</a:t>
          </a:r>
        </a:p>
      </dgm:t>
    </dgm:pt>
    <dgm:pt modelId="{AFFA59BD-AF0C-4CF7-ADE9-D19CA678A1F9}">
      <dgm:prSet/>
      <dgm:spPr/>
      <dgm:t>
        <a:bodyPr/>
        <a:lstStyle/>
        <a:p>
          <a:r>
            <a:rPr lang="en-US"/>
            <a:t>1</a:t>
          </a:r>
          <a:r>
            <a:rPr lang="en-US" altLang="zh-CN"/>
            <a:t>4</a:t>
          </a:r>
          <a:endParaRPr lang="en-US"/>
        </a:p>
      </dgm:t>
    </dgm:pt>
    <dgm:pt modelId="{37003293-4B20-41AF-9FE9-114CB5BBC1A3}" type="sibTrans" cxnId="{8D5CC507-5A7B-43AE-90AC-D00E3264315D}">
      <dgm:prSet/>
      <dgm:spPr/>
      <dgm:t>
        <a:bodyPr/>
        <a:lstStyle/>
        <a:p>
          <a:endParaRPr lang="en-US"/>
        </a:p>
      </dgm:t>
    </dgm:pt>
    <dgm:pt modelId="{06E5BE98-7C60-4105-AEEF-933B442BA28E}" type="parTrans" cxnId="{8D5CC507-5A7B-43AE-90AC-D00E3264315D}">
      <dgm:prSet/>
      <dgm:spPr/>
      <dgm:t>
        <a:bodyPr/>
        <a:lstStyle/>
        <a:p>
          <a:r>
            <a:rPr lang="en-US"/>
            <a:t>Warehouse</a:t>
          </a:r>
        </a:p>
      </dgm:t>
    </dgm:pt>
    <dgm:pt modelId="{13C6E4F5-D815-411F-A06D-9BEFE9BA69C0}" type="pres">
      <dgm:prSet presAssocID="{139754AB-4AC5-46A5-82DD-A3E2EA5AB27E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DA8FC07F-DA8F-4A2E-B1FB-A625CDDA934F}" type="pres">
      <dgm:prSet presAssocID="{2AD29D81-5D74-4537-84A9-3EFC22482CE1}" presName="root1" presStyleCnt="0"/>
      <dgm:spPr/>
    </dgm:pt>
    <dgm:pt modelId="{05817D6F-AD44-4A52-A556-08718A0DB57F}" type="pres">
      <dgm:prSet presAssocID="{2AD29D81-5D74-4537-84A9-3EFC22482CE1}" presName="LevelOneTextNode" presStyleLbl="node0" presStyleIdx="0" presStyleCnt="1" custLinFactX="-400000" custLinFactY="-198726" custLinFactNeighborX="-472712" custLinFactNeighborY="-200000">
        <dgm:presLayoutVars>
          <dgm:chPref val="3"/>
        </dgm:presLayoutVars>
      </dgm:prSet>
      <dgm:spPr/>
    </dgm:pt>
    <dgm:pt modelId="{69E2FF68-5AF0-47F7-82D9-DCFE99A06E50}" type="pres">
      <dgm:prSet presAssocID="{2AD29D81-5D74-4537-84A9-3EFC22482CE1}" presName="level2hierChild" presStyleCnt="0"/>
      <dgm:spPr/>
    </dgm:pt>
    <dgm:pt modelId="{BB2524A6-5A7F-41C7-AD01-0CC17F262024}" type="pres">
      <dgm:prSet presAssocID="{4AF7A8F7-7B45-417F-AC91-AF7BBA136027}" presName="conn2-1" presStyleLbl="parChTrans1D2" presStyleIdx="0" presStyleCnt="2"/>
      <dgm:spPr/>
    </dgm:pt>
    <dgm:pt modelId="{43B98741-D4DC-4FCE-94CB-3DE353FC3C3C}" type="pres">
      <dgm:prSet presAssocID="{4AF7A8F7-7B45-417F-AC91-AF7BBA136027}" presName="connTx" presStyleLbl="parChTrans1D2" presStyleIdx="0" presStyleCnt="2"/>
      <dgm:spPr/>
    </dgm:pt>
    <dgm:pt modelId="{F44DDCC3-18F8-4CEE-9C8A-01755D4D0073}" type="pres">
      <dgm:prSet presAssocID="{196C8E07-E715-4737-B28C-11F676D62027}" presName="root2" presStyleCnt="0"/>
      <dgm:spPr/>
    </dgm:pt>
    <dgm:pt modelId="{543A386C-6C7B-403F-9E36-016835E46758}" type="pres">
      <dgm:prSet presAssocID="{196C8E07-E715-4737-B28C-11F676D62027}" presName="LevelTwoTextNode" presStyleLbl="node2" presStyleIdx="0" presStyleCnt="2" custLinFactX="-300000" custLinFactY="-32069" custLinFactNeighborX="-335713" custLinFactNeighborY="-100000">
        <dgm:presLayoutVars>
          <dgm:chPref val="3"/>
        </dgm:presLayoutVars>
      </dgm:prSet>
      <dgm:spPr/>
    </dgm:pt>
    <dgm:pt modelId="{8EB7B22F-A292-4B62-8473-FCC34296E333}" type="pres">
      <dgm:prSet presAssocID="{196C8E07-E715-4737-B28C-11F676D62027}" presName="level3hierChild" presStyleCnt="0"/>
      <dgm:spPr/>
    </dgm:pt>
    <dgm:pt modelId="{2234839A-7F72-4BDC-9662-67596C1E5DDE}" type="pres">
      <dgm:prSet presAssocID="{72B16407-D95D-4F2F-AB68-FE3B6622942B}" presName="conn2-1" presStyleLbl="parChTrans1D3" presStyleIdx="0" presStyleCnt="5"/>
      <dgm:spPr/>
    </dgm:pt>
    <dgm:pt modelId="{D1A00F3A-8B53-4D9C-B868-BA54EE06CC6E}" type="pres">
      <dgm:prSet presAssocID="{72B16407-D95D-4F2F-AB68-FE3B6622942B}" presName="connTx" presStyleLbl="parChTrans1D3" presStyleIdx="0" presStyleCnt="5"/>
      <dgm:spPr/>
    </dgm:pt>
    <dgm:pt modelId="{62A6881E-B63D-4FE7-ABF9-D2A550DC9B4A}" type="pres">
      <dgm:prSet presAssocID="{1A5171FD-3A5E-402C-BA1B-E69D2860D091}" presName="root2" presStyleCnt="0"/>
      <dgm:spPr/>
    </dgm:pt>
    <dgm:pt modelId="{DB1ECD12-944C-43D7-B454-E6C14EE64881}" type="pres">
      <dgm:prSet presAssocID="{1A5171FD-3A5E-402C-BA1B-E69D2860D091}" presName="LevelTwoTextNode" presStyleLbl="node3" presStyleIdx="0" presStyleCnt="5" custLinFactX="-100000" custLinFactNeighborX="-111244" custLinFactNeighborY="-39727">
        <dgm:presLayoutVars>
          <dgm:chPref val="3"/>
        </dgm:presLayoutVars>
      </dgm:prSet>
      <dgm:spPr/>
    </dgm:pt>
    <dgm:pt modelId="{1461C265-40A2-45F7-B0FF-DB5F96BFE14F}" type="pres">
      <dgm:prSet presAssocID="{1A5171FD-3A5E-402C-BA1B-E69D2860D091}" presName="level3hierChild" presStyleCnt="0"/>
      <dgm:spPr/>
    </dgm:pt>
    <dgm:pt modelId="{03C39051-A168-47AF-B876-DA0DAF578EE8}" type="pres">
      <dgm:prSet presAssocID="{03106A06-6838-48AF-8D17-578285C24754}" presName="conn2-1" presStyleLbl="parChTrans1D4" presStyleIdx="0" presStyleCnt="33"/>
      <dgm:spPr/>
    </dgm:pt>
    <dgm:pt modelId="{28881B8C-A101-4C81-AF93-91836CFA7BE9}" type="pres">
      <dgm:prSet presAssocID="{03106A06-6838-48AF-8D17-578285C24754}" presName="connTx" presStyleLbl="parChTrans1D4" presStyleIdx="0" presStyleCnt="33"/>
      <dgm:spPr/>
    </dgm:pt>
    <dgm:pt modelId="{76A3F45D-63AF-4CA0-A3EE-65AA7126D30C}" type="pres">
      <dgm:prSet presAssocID="{2AC6D161-DCCA-42B5-A109-24D3DDB402D1}" presName="root2" presStyleCnt="0"/>
      <dgm:spPr/>
    </dgm:pt>
    <dgm:pt modelId="{71620E72-9755-481D-8400-5F7D92E05BD1}" type="pres">
      <dgm:prSet presAssocID="{2AC6D161-DCCA-42B5-A109-24D3DDB402D1}" presName="LevelTwoTextNode" presStyleLbl="node4" presStyleIdx="0" presStyleCnt="33" custLinFactNeighborX="53511" custLinFactNeighborY="-660">
        <dgm:presLayoutVars>
          <dgm:chPref val="3"/>
        </dgm:presLayoutVars>
      </dgm:prSet>
      <dgm:spPr/>
    </dgm:pt>
    <dgm:pt modelId="{34499FE8-0E25-4CE2-A55A-AFE397C25106}" type="pres">
      <dgm:prSet presAssocID="{2AC6D161-DCCA-42B5-A109-24D3DDB402D1}" presName="level3hierChild" presStyleCnt="0"/>
      <dgm:spPr/>
    </dgm:pt>
    <dgm:pt modelId="{90B5ADE1-76EB-465F-A336-C38490DEDF1C}" type="pres">
      <dgm:prSet presAssocID="{6F7DCE2D-A302-44FB-BC3A-673ED3A16D08}" presName="conn2-1" presStyleLbl="parChTrans1D4" presStyleIdx="1" presStyleCnt="33"/>
      <dgm:spPr/>
    </dgm:pt>
    <dgm:pt modelId="{BDFFB75B-9EAE-4A2A-8828-33510F0EA5E0}" type="pres">
      <dgm:prSet presAssocID="{6F7DCE2D-A302-44FB-BC3A-673ED3A16D08}" presName="connTx" presStyleLbl="parChTrans1D4" presStyleIdx="1" presStyleCnt="33"/>
      <dgm:spPr/>
    </dgm:pt>
    <dgm:pt modelId="{074B5E31-44F2-4D24-A0B9-8CA5B170653D}" type="pres">
      <dgm:prSet presAssocID="{E371DCD9-A949-4EAD-A3A1-DF27C2718F6E}" presName="root2" presStyleCnt="0"/>
      <dgm:spPr/>
    </dgm:pt>
    <dgm:pt modelId="{C0AF1216-36BC-4E13-9FC2-0A455B0D2AD5}" type="pres">
      <dgm:prSet presAssocID="{E371DCD9-A949-4EAD-A3A1-DF27C2718F6E}" presName="LevelTwoTextNode" presStyleLbl="node4" presStyleIdx="1" presStyleCnt="33" custLinFactNeighborX="52366" custLinFactNeighborY="-10590">
        <dgm:presLayoutVars>
          <dgm:chPref val="3"/>
        </dgm:presLayoutVars>
      </dgm:prSet>
      <dgm:spPr/>
    </dgm:pt>
    <dgm:pt modelId="{57C40BE2-51DA-421D-BBD2-6FD01A9AAD93}" type="pres">
      <dgm:prSet presAssocID="{E371DCD9-A949-4EAD-A3A1-DF27C2718F6E}" presName="level3hierChild" presStyleCnt="0"/>
      <dgm:spPr/>
    </dgm:pt>
    <dgm:pt modelId="{5F786418-D004-40EC-933F-1557C15E86C2}" type="pres">
      <dgm:prSet presAssocID="{B80FBB11-8805-4A9C-A912-FA4940800097}" presName="conn2-1" presStyleLbl="parChTrans1D4" presStyleIdx="2" presStyleCnt="33"/>
      <dgm:spPr/>
    </dgm:pt>
    <dgm:pt modelId="{6E9E7FC1-0EF3-4ED7-8060-3846FE53A7D8}" type="pres">
      <dgm:prSet presAssocID="{B80FBB11-8805-4A9C-A912-FA4940800097}" presName="connTx" presStyleLbl="parChTrans1D4" presStyleIdx="2" presStyleCnt="33"/>
      <dgm:spPr/>
    </dgm:pt>
    <dgm:pt modelId="{B22B25CE-4937-4CD7-91C0-DF1CA9ABEE72}" type="pres">
      <dgm:prSet presAssocID="{1D299E28-6E3D-4C76-A20F-E1BA589995E3}" presName="root2" presStyleCnt="0"/>
      <dgm:spPr/>
    </dgm:pt>
    <dgm:pt modelId="{E6BC9C15-8BE6-483E-9A89-CA11311D4A78}" type="pres">
      <dgm:prSet presAssocID="{1D299E28-6E3D-4C76-A20F-E1BA589995E3}" presName="LevelTwoTextNode" presStyleLbl="node4" presStyleIdx="2" presStyleCnt="33" custLinFactNeighborX="52617" custLinFactNeighborY="-22418">
        <dgm:presLayoutVars>
          <dgm:chPref val="3"/>
        </dgm:presLayoutVars>
      </dgm:prSet>
      <dgm:spPr/>
    </dgm:pt>
    <dgm:pt modelId="{1BEC3A4E-D475-4174-8436-DB07B7BE91EE}" type="pres">
      <dgm:prSet presAssocID="{1D299E28-6E3D-4C76-A20F-E1BA589995E3}" presName="level3hierChild" presStyleCnt="0"/>
      <dgm:spPr/>
    </dgm:pt>
    <dgm:pt modelId="{DACAFF4A-8E6F-47F2-A5DC-1E957A4F3441}" type="pres">
      <dgm:prSet presAssocID="{D5FB4507-376F-41A1-BB66-3312893B648D}" presName="conn2-1" presStyleLbl="parChTrans1D3" presStyleIdx="1" presStyleCnt="5"/>
      <dgm:spPr/>
    </dgm:pt>
    <dgm:pt modelId="{2DB759D0-1290-4950-A2E8-086111A4E19D}" type="pres">
      <dgm:prSet presAssocID="{D5FB4507-376F-41A1-BB66-3312893B648D}" presName="connTx" presStyleLbl="parChTrans1D3" presStyleIdx="1" presStyleCnt="5"/>
      <dgm:spPr/>
    </dgm:pt>
    <dgm:pt modelId="{7B6E1916-47FA-4887-BC35-9D7590792EDB}" type="pres">
      <dgm:prSet presAssocID="{4F3651C3-11F1-4999-9C97-C9E9D89F731E}" presName="root2" presStyleCnt="0"/>
      <dgm:spPr/>
    </dgm:pt>
    <dgm:pt modelId="{F4490D86-4BCF-47A5-8195-82E786A757F0}" type="pres">
      <dgm:prSet presAssocID="{4F3651C3-11F1-4999-9C97-C9E9D89F731E}" presName="LevelTwoTextNode" presStyleLbl="node3" presStyleIdx="1" presStyleCnt="5" custLinFactX="-100000" custLinFactY="-73562" custLinFactNeighborX="-112739" custLinFactNeighborY="-100000">
        <dgm:presLayoutVars>
          <dgm:chPref val="3"/>
        </dgm:presLayoutVars>
      </dgm:prSet>
      <dgm:spPr/>
    </dgm:pt>
    <dgm:pt modelId="{4528C72D-9C85-488D-869F-5F97366CB8A9}" type="pres">
      <dgm:prSet presAssocID="{4F3651C3-11F1-4999-9C97-C9E9D89F731E}" presName="level3hierChild" presStyleCnt="0"/>
      <dgm:spPr/>
    </dgm:pt>
    <dgm:pt modelId="{7CDA4973-3D1F-4508-99F8-8D7E0B6479A3}" type="pres">
      <dgm:prSet presAssocID="{2018CD79-6097-4D9B-809D-D50F800D8303}" presName="conn2-1" presStyleLbl="parChTrans1D4" presStyleIdx="3" presStyleCnt="33"/>
      <dgm:spPr/>
    </dgm:pt>
    <dgm:pt modelId="{0451A1C5-1F0A-43CB-8990-641CA74A49A6}" type="pres">
      <dgm:prSet presAssocID="{2018CD79-6097-4D9B-809D-D50F800D8303}" presName="connTx" presStyleLbl="parChTrans1D4" presStyleIdx="3" presStyleCnt="33"/>
      <dgm:spPr/>
    </dgm:pt>
    <dgm:pt modelId="{BA1EDF4F-C383-4E01-9ACC-C18D9AC9ED72}" type="pres">
      <dgm:prSet presAssocID="{23DCCBCE-F028-42E8-8B5F-1643C8335B30}" presName="root2" presStyleCnt="0"/>
      <dgm:spPr/>
    </dgm:pt>
    <dgm:pt modelId="{41A10ED3-9830-4024-9A0A-EE12435AE656}" type="pres">
      <dgm:prSet presAssocID="{23DCCBCE-F028-42E8-8B5F-1643C8335B30}" presName="LevelTwoTextNode" presStyleLbl="node4" presStyleIdx="3" presStyleCnt="33" custLinFactNeighborX="54108" custLinFactNeighborY="-28896">
        <dgm:presLayoutVars>
          <dgm:chPref val="3"/>
        </dgm:presLayoutVars>
      </dgm:prSet>
      <dgm:spPr/>
    </dgm:pt>
    <dgm:pt modelId="{04DFF11C-D850-4EDF-9B80-9B41CA254471}" type="pres">
      <dgm:prSet presAssocID="{23DCCBCE-F028-42E8-8B5F-1643C8335B30}" presName="level3hierChild" presStyleCnt="0"/>
      <dgm:spPr/>
    </dgm:pt>
    <dgm:pt modelId="{6959B8C7-7AC1-4B70-8A89-D8ACA139A7AE}" type="pres">
      <dgm:prSet presAssocID="{75310083-4F19-470B-8F9C-6F46CBF57AEA}" presName="conn2-1" presStyleLbl="parChTrans1D4" presStyleIdx="4" presStyleCnt="33"/>
      <dgm:spPr/>
    </dgm:pt>
    <dgm:pt modelId="{84EEA528-C4E3-4C8B-AE73-C7EC56DF7E41}" type="pres">
      <dgm:prSet presAssocID="{75310083-4F19-470B-8F9C-6F46CBF57AEA}" presName="connTx" presStyleLbl="parChTrans1D4" presStyleIdx="4" presStyleCnt="33"/>
      <dgm:spPr/>
    </dgm:pt>
    <dgm:pt modelId="{14DDC385-57BB-46AD-A6B5-6065DD607A04}" type="pres">
      <dgm:prSet presAssocID="{1DB5717F-A067-4B24-B095-AD69793DE2A0}" presName="root2" presStyleCnt="0"/>
      <dgm:spPr/>
    </dgm:pt>
    <dgm:pt modelId="{B58A1E0A-DD19-400F-BF54-2252E25E9793}" type="pres">
      <dgm:prSet presAssocID="{1DB5717F-A067-4B24-B095-AD69793DE2A0}" presName="LevelTwoTextNode" presStyleLbl="node4" presStyleIdx="4" presStyleCnt="33" custLinFactNeighborX="52983" custLinFactNeighborY="-41669">
        <dgm:presLayoutVars>
          <dgm:chPref val="3"/>
        </dgm:presLayoutVars>
      </dgm:prSet>
      <dgm:spPr/>
    </dgm:pt>
    <dgm:pt modelId="{F9626236-927F-4357-BEDD-38AD26C75F8B}" type="pres">
      <dgm:prSet presAssocID="{1DB5717F-A067-4B24-B095-AD69793DE2A0}" presName="level3hierChild" presStyleCnt="0"/>
      <dgm:spPr/>
    </dgm:pt>
    <dgm:pt modelId="{66B6C410-A83D-493B-AD39-6E1E47C411B5}" type="pres">
      <dgm:prSet presAssocID="{53A52689-7D8D-43BE-8460-52A96790E5EB}" presName="conn2-1" presStyleLbl="parChTrans1D4" presStyleIdx="5" presStyleCnt="33"/>
      <dgm:spPr/>
    </dgm:pt>
    <dgm:pt modelId="{CC16E1FB-25F6-4E5D-A230-543598D1DAD1}" type="pres">
      <dgm:prSet presAssocID="{53A52689-7D8D-43BE-8460-52A96790E5EB}" presName="connTx" presStyleLbl="parChTrans1D4" presStyleIdx="5" presStyleCnt="33"/>
      <dgm:spPr/>
    </dgm:pt>
    <dgm:pt modelId="{D436F572-CD03-4851-AA82-B11E909B9E99}" type="pres">
      <dgm:prSet presAssocID="{F28671D9-9F70-4533-AC41-3C7BBC4B6695}" presName="root2" presStyleCnt="0"/>
      <dgm:spPr/>
    </dgm:pt>
    <dgm:pt modelId="{F226DFC6-CD6C-4E7B-B38C-81D855A51B13}" type="pres">
      <dgm:prSet presAssocID="{F28671D9-9F70-4533-AC41-3C7BBC4B6695}" presName="LevelTwoTextNode" presStyleLbl="node4" presStyleIdx="5" presStyleCnt="33" custLinFactNeighborX="51372" custLinFactNeighborY="-48891">
        <dgm:presLayoutVars>
          <dgm:chPref val="3"/>
        </dgm:presLayoutVars>
      </dgm:prSet>
      <dgm:spPr/>
    </dgm:pt>
    <dgm:pt modelId="{13662312-045D-459C-85EB-F256ECFCF51A}" type="pres">
      <dgm:prSet presAssocID="{F28671D9-9F70-4533-AC41-3C7BBC4B6695}" presName="level3hierChild" presStyleCnt="0"/>
      <dgm:spPr/>
    </dgm:pt>
    <dgm:pt modelId="{0F145BA9-AA7E-455D-8C83-E0F59CF38BAB}" type="pres">
      <dgm:prSet presAssocID="{343A0F5C-1293-4530-9A67-DB1933B89D18}" presName="conn2-1" presStyleLbl="parChTrans1D3" presStyleIdx="2" presStyleCnt="5"/>
      <dgm:spPr/>
    </dgm:pt>
    <dgm:pt modelId="{35A1A727-3C8D-4AAC-9132-07DFE67153F4}" type="pres">
      <dgm:prSet presAssocID="{343A0F5C-1293-4530-9A67-DB1933B89D18}" presName="connTx" presStyleLbl="parChTrans1D3" presStyleIdx="2" presStyleCnt="5"/>
      <dgm:spPr/>
    </dgm:pt>
    <dgm:pt modelId="{8C5F1B0D-C8A2-4994-A28A-33BA5EEAEAE4}" type="pres">
      <dgm:prSet presAssocID="{C7287A47-B267-4434-804F-F89A20B6C0ED}" presName="root2" presStyleCnt="0"/>
      <dgm:spPr/>
    </dgm:pt>
    <dgm:pt modelId="{B181FD80-43F5-4AB1-ADC3-6811670233F3}" type="pres">
      <dgm:prSet presAssocID="{C7287A47-B267-4434-804F-F89A20B6C0ED}" presName="LevelTwoTextNode" presStyleLbl="node3" presStyleIdx="2" presStyleCnt="5" custLinFactX="-100000" custLinFactNeighborX="-113402" custLinFactNeighborY="-92582">
        <dgm:presLayoutVars>
          <dgm:chPref val="3"/>
        </dgm:presLayoutVars>
      </dgm:prSet>
      <dgm:spPr/>
    </dgm:pt>
    <dgm:pt modelId="{32E9223E-DEA7-4972-AC31-A628467D1C5A}" type="pres">
      <dgm:prSet presAssocID="{C7287A47-B267-4434-804F-F89A20B6C0ED}" presName="level3hierChild" presStyleCnt="0"/>
      <dgm:spPr/>
    </dgm:pt>
    <dgm:pt modelId="{D69DA898-7D1A-4FEB-99CB-C669E8105167}" type="pres">
      <dgm:prSet presAssocID="{6A955C3C-D9E1-4270-A291-190A21CDA6C3}" presName="conn2-1" presStyleLbl="parChTrans1D4" presStyleIdx="6" presStyleCnt="33"/>
      <dgm:spPr/>
    </dgm:pt>
    <dgm:pt modelId="{B7E1E6B7-420E-48AE-9AA8-CAC7D67C7F04}" type="pres">
      <dgm:prSet presAssocID="{6A955C3C-D9E1-4270-A291-190A21CDA6C3}" presName="connTx" presStyleLbl="parChTrans1D4" presStyleIdx="6" presStyleCnt="33"/>
      <dgm:spPr/>
    </dgm:pt>
    <dgm:pt modelId="{683BCD62-5B96-47AF-81BF-F1A3FDB8EF68}" type="pres">
      <dgm:prSet presAssocID="{DCF95453-63B0-47AD-871B-2720D73E1ABA}" presName="root2" presStyleCnt="0"/>
      <dgm:spPr/>
    </dgm:pt>
    <dgm:pt modelId="{4F102353-4E3C-470B-A831-C9332F4D84F9}" type="pres">
      <dgm:prSet presAssocID="{DCF95453-63B0-47AD-871B-2720D73E1ABA}" presName="LevelTwoTextNode" presStyleLbl="node4" presStyleIdx="6" presStyleCnt="33" custLinFactNeighborX="51979" custLinFactNeighborY="-47013">
        <dgm:presLayoutVars>
          <dgm:chPref val="3"/>
        </dgm:presLayoutVars>
      </dgm:prSet>
      <dgm:spPr/>
    </dgm:pt>
    <dgm:pt modelId="{24B64D61-5CD7-46B0-AFA8-2794309E69CA}" type="pres">
      <dgm:prSet presAssocID="{DCF95453-63B0-47AD-871B-2720D73E1ABA}" presName="level3hierChild" presStyleCnt="0"/>
      <dgm:spPr/>
    </dgm:pt>
    <dgm:pt modelId="{F71E58EA-0CDA-47F6-A95B-E22E0F5ED500}" type="pres">
      <dgm:prSet presAssocID="{F380FF1E-9A6F-4DDB-8709-897C754CEA8B}" presName="conn2-1" presStyleLbl="parChTrans1D4" presStyleIdx="7" presStyleCnt="33"/>
      <dgm:spPr/>
    </dgm:pt>
    <dgm:pt modelId="{BBA4431C-A027-4DBA-A33B-751E92FE75EB}" type="pres">
      <dgm:prSet presAssocID="{F380FF1E-9A6F-4DDB-8709-897C754CEA8B}" presName="connTx" presStyleLbl="parChTrans1D4" presStyleIdx="7" presStyleCnt="33"/>
      <dgm:spPr/>
    </dgm:pt>
    <dgm:pt modelId="{D706A3BD-0EE7-4317-862C-AF45A8297BFB}" type="pres">
      <dgm:prSet presAssocID="{B5429C33-7AA3-47F1-B923-FAF0F36A60FF}" presName="root2" presStyleCnt="0"/>
      <dgm:spPr/>
    </dgm:pt>
    <dgm:pt modelId="{0E7BB32D-EBB9-4F40-BFB2-8E5067399547}" type="pres">
      <dgm:prSet presAssocID="{B5429C33-7AA3-47F1-B923-FAF0F36A60FF}" presName="LevelTwoTextNode" presStyleLbl="node4" presStyleIdx="7" presStyleCnt="33" custLinFactNeighborX="51440" custLinFactNeighborY="-60298">
        <dgm:presLayoutVars>
          <dgm:chPref val="3"/>
        </dgm:presLayoutVars>
      </dgm:prSet>
      <dgm:spPr/>
    </dgm:pt>
    <dgm:pt modelId="{A5847B5B-D860-401E-A87B-9966B8649AD0}" type="pres">
      <dgm:prSet presAssocID="{B5429C33-7AA3-47F1-B923-FAF0F36A60FF}" presName="level3hierChild" presStyleCnt="0"/>
      <dgm:spPr/>
    </dgm:pt>
    <dgm:pt modelId="{3B5C78A4-0160-4B99-AAA4-0DA3D88D23BF}" type="pres">
      <dgm:prSet presAssocID="{FCE94570-B2A5-49F6-A781-22E257AC97E3}" presName="conn2-1" presStyleLbl="parChTrans1D4" presStyleIdx="8" presStyleCnt="33"/>
      <dgm:spPr/>
    </dgm:pt>
    <dgm:pt modelId="{82CCBA89-A243-42BA-8E4E-50D7759C077D}" type="pres">
      <dgm:prSet presAssocID="{FCE94570-B2A5-49F6-A781-22E257AC97E3}" presName="connTx" presStyleLbl="parChTrans1D4" presStyleIdx="8" presStyleCnt="33"/>
      <dgm:spPr/>
    </dgm:pt>
    <dgm:pt modelId="{89A93A6A-079B-4A8E-AD32-3B7EB6230F47}" type="pres">
      <dgm:prSet presAssocID="{00E8A4D1-06E3-44BE-A4A6-D6893F3B4454}" presName="root2" presStyleCnt="0"/>
      <dgm:spPr/>
    </dgm:pt>
    <dgm:pt modelId="{919F03E3-9F40-45A3-9741-0A8DBDA2FE8A}" type="pres">
      <dgm:prSet presAssocID="{00E8A4D1-06E3-44BE-A4A6-D6893F3B4454}" presName="LevelTwoTextNode" presStyleLbl="node4" presStyleIdx="8" presStyleCnt="33" custLinFactNeighborX="52145" custLinFactNeighborY="-75617">
        <dgm:presLayoutVars>
          <dgm:chPref val="3"/>
        </dgm:presLayoutVars>
      </dgm:prSet>
      <dgm:spPr/>
    </dgm:pt>
    <dgm:pt modelId="{E4F11DD2-EA0B-456D-A9A7-146552685E39}" type="pres">
      <dgm:prSet presAssocID="{00E8A4D1-06E3-44BE-A4A6-D6893F3B4454}" presName="level3hierChild" presStyleCnt="0"/>
      <dgm:spPr/>
    </dgm:pt>
    <dgm:pt modelId="{0F885D3D-8383-480E-847E-CC35A462504B}" type="pres">
      <dgm:prSet presAssocID="{8A8C542E-8C6F-49E6-B4EE-1FC83038C718}" presName="conn2-1" presStyleLbl="parChTrans1D2" presStyleIdx="1" presStyleCnt="2"/>
      <dgm:spPr/>
    </dgm:pt>
    <dgm:pt modelId="{88805D6C-1F21-4A53-8232-490C4AE46E51}" type="pres">
      <dgm:prSet presAssocID="{8A8C542E-8C6F-49E6-B4EE-1FC83038C718}" presName="connTx" presStyleLbl="parChTrans1D2" presStyleIdx="1" presStyleCnt="2"/>
      <dgm:spPr/>
    </dgm:pt>
    <dgm:pt modelId="{44601942-D85E-43DF-9080-E5FD84D2727E}" type="pres">
      <dgm:prSet presAssocID="{1E1A7748-F669-4BD0-9DCC-B60264D52951}" presName="root2" presStyleCnt="0"/>
      <dgm:spPr/>
    </dgm:pt>
    <dgm:pt modelId="{F585E2FE-3908-489A-A306-B9316D5C8515}" type="pres">
      <dgm:prSet presAssocID="{1E1A7748-F669-4BD0-9DCC-B60264D52951}" presName="LevelTwoTextNode" presStyleLbl="node2" presStyleIdx="1" presStyleCnt="2" custLinFactX="-300000" custLinFactY="-200000" custLinFactNeighborX="-350247" custLinFactNeighborY="-223847">
        <dgm:presLayoutVars>
          <dgm:chPref val="3"/>
        </dgm:presLayoutVars>
      </dgm:prSet>
      <dgm:spPr/>
    </dgm:pt>
    <dgm:pt modelId="{2836013B-BB83-4B4D-A8B1-CE8F121BB84D}" type="pres">
      <dgm:prSet presAssocID="{1E1A7748-F669-4BD0-9DCC-B60264D52951}" presName="level3hierChild" presStyleCnt="0"/>
      <dgm:spPr/>
    </dgm:pt>
    <dgm:pt modelId="{8415BB3D-3BF9-47A1-A8DE-069EDED63631}" type="pres">
      <dgm:prSet presAssocID="{A3FC1A59-5FFA-4FFC-9706-C085BCB0993F}" presName="conn2-1" presStyleLbl="parChTrans1D3" presStyleIdx="3" presStyleCnt="5"/>
      <dgm:spPr/>
    </dgm:pt>
    <dgm:pt modelId="{96111E49-D3E7-4ED7-8FA1-844F10F580CB}" type="pres">
      <dgm:prSet presAssocID="{A3FC1A59-5FFA-4FFC-9706-C085BCB0993F}" presName="connTx" presStyleLbl="parChTrans1D3" presStyleIdx="3" presStyleCnt="5"/>
      <dgm:spPr/>
    </dgm:pt>
    <dgm:pt modelId="{28E160D9-57A3-48E2-92D6-0919897456FD}" type="pres">
      <dgm:prSet presAssocID="{D7696A1A-4D6F-4FF8-BE60-16AF35954B73}" presName="root2" presStyleCnt="0"/>
      <dgm:spPr/>
    </dgm:pt>
    <dgm:pt modelId="{37DCABDA-982E-4FF3-A799-576C12D46A04}" type="pres">
      <dgm:prSet presAssocID="{D7696A1A-4D6F-4FF8-BE60-16AF35954B73}" presName="LevelTwoTextNode" presStyleLbl="node3" presStyleIdx="3" presStyleCnt="5" custLinFactX="-230751" custLinFactNeighborX="-300000" custLinFactNeighborY="-67521">
        <dgm:presLayoutVars>
          <dgm:chPref val="3"/>
        </dgm:presLayoutVars>
      </dgm:prSet>
      <dgm:spPr/>
    </dgm:pt>
    <dgm:pt modelId="{6A4417A9-3177-48E0-8279-0B58E4AA988D}" type="pres">
      <dgm:prSet presAssocID="{D7696A1A-4D6F-4FF8-BE60-16AF35954B73}" presName="level3hierChild" presStyleCnt="0"/>
      <dgm:spPr/>
    </dgm:pt>
    <dgm:pt modelId="{390A26D5-C913-427B-AA44-4DEAE06020C1}" type="pres">
      <dgm:prSet presAssocID="{88849D94-15D2-48C0-8B29-E52B146B960A}" presName="conn2-1" presStyleLbl="parChTrans1D4" presStyleIdx="9" presStyleCnt="33"/>
      <dgm:spPr/>
    </dgm:pt>
    <dgm:pt modelId="{2E6E86BE-7F98-44AB-A234-2E1719AF1204}" type="pres">
      <dgm:prSet presAssocID="{88849D94-15D2-48C0-8B29-E52B146B960A}" presName="connTx" presStyleLbl="parChTrans1D4" presStyleIdx="9" presStyleCnt="33"/>
      <dgm:spPr/>
    </dgm:pt>
    <dgm:pt modelId="{2FF30FE2-F25C-4A6F-A615-3CFD417599C8}" type="pres">
      <dgm:prSet presAssocID="{BE3B6B97-B57C-481F-9B20-057BBEF0302D}" presName="root2" presStyleCnt="0"/>
      <dgm:spPr/>
    </dgm:pt>
    <dgm:pt modelId="{B5D48A3D-F390-4BDE-9658-AE52D6F606EF}" type="pres">
      <dgm:prSet presAssocID="{BE3B6B97-B57C-481F-9B20-057BBEF0302D}" presName="LevelTwoTextNode" presStyleLbl="node4" presStyleIdx="9" presStyleCnt="33" custLinFactX="-150667" custLinFactNeighborX="-200000" custLinFactNeighborY="-97629">
        <dgm:presLayoutVars>
          <dgm:chPref val="3"/>
        </dgm:presLayoutVars>
      </dgm:prSet>
      <dgm:spPr/>
    </dgm:pt>
    <dgm:pt modelId="{141B4AE3-858C-42E7-A337-704C21332052}" type="pres">
      <dgm:prSet presAssocID="{BE3B6B97-B57C-481F-9B20-057BBEF0302D}" presName="level3hierChild" presStyleCnt="0"/>
      <dgm:spPr/>
    </dgm:pt>
    <dgm:pt modelId="{05B06E0F-C39B-4FF4-8481-1BDE7A32EC94}" type="pres">
      <dgm:prSet presAssocID="{523008B3-375E-4F76-8BBA-F0C5DD8AAD7C}" presName="conn2-1" presStyleLbl="parChTrans1D4" presStyleIdx="10" presStyleCnt="33"/>
      <dgm:spPr/>
    </dgm:pt>
    <dgm:pt modelId="{C0A27F31-DAB5-4A4D-A24E-C68160DEEF2E}" type="pres">
      <dgm:prSet presAssocID="{523008B3-375E-4F76-8BBA-F0C5DD8AAD7C}" presName="connTx" presStyleLbl="parChTrans1D4" presStyleIdx="10" presStyleCnt="33"/>
      <dgm:spPr/>
    </dgm:pt>
    <dgm:pt modelId="{4BEE8C13-D4DD-4EDB-855A-2FBAAF01F446}" type="pres">
      <dgm:prSet presAssocID="{D1930453-F5C7-42C3-9E79-314D2F13E0D5}" presName="root2" presStyleCnt="0"/>
      <dgm:spPr/>
    </dgm:pt>
    <dgm:pt modelId="{6680B383-E4A9-4283-B090-662C5C653B23}" type="pres">
      <dgm:prSet presAssocID="{D1930453-F5C7-42C3-9E79-314D2F13E0D5}" presName="LevelTwoTextNode" presStyleLbl="node4" presStyleIdx="10" presStyleCnt="33" custLinFactNeighborX="-86296" custLinFactNeighborY="-80194">
        <dgm:presLayoutVars>
          <dgm:chPref val="3"/>
        </dgm:presLayoutVars>
      </dgm:prSet>
      <dgm:spPr/>
    </dgm:pt>
    <dgm:pt modelId="{9EAA6B88-B8B4-4DA6-B45C-8467EA022650}" type="pres">
      <dgm:prSet presAssocID="{D1930453-F5C7-42C3-9E79-314D2F13E0D5}" presName="level3hierChild" presStyleCnt="0"/>
      <dgm:spPr/>
    </dgm:pt>
    <dgm:pt modelId="{E36AD7FC-6AC3-4253-ADC4-3D14A733EC4D}" type="pres">
      <dgm:prSet presAssocID="{51A25E72-2ABD-4D0A-8ECD-DA12FFBEA455}" presName="conn2-1" presStyleLbl="parChTrans1D4" presStyleIdx="11" presStyleCnt="33"/>
      <dgm:spPr/>
    </dgm:pt>
    <dgm:pt modelId="{972B2748-129F-440C-B3DD-CF89C6ECA59F}" type="pres">
      <dgm:prSet presAssocID="{51A25E72-2ABD-4D0A-8ECD-DA12FFBEA455}" presName="connTx" presStyleLbl="parChTrans1D4" presStyleIdx="11" presStyleCnt="33"/>
      <dgm:spPr/>
    </dgm:pt>
    <dgm:pt modelId="{12103857-57AF-4535-A6D3-6D240F5396DA}" type="pres">
      <dgm:prSet presAssocID="{E83105C4-C03D-4F52-A3E0-4D891D29C2CA}" presName="root2" presStyleCnt="0"/>
      <dgm:spPr/>
    </dgm:pt>
    <dgm:pt modelId="{E7E87AC0-CB30-469F-8A81-9AFA79AA8CF3}" type="pres">
      <dgm:prSet presAssocID="{E83105C4-C03D-4F52-A3E0-4D891D29C2CA}" presName="LevelTwoTextNode" presStyleLbl="node4" presStyleIdx="11" presStyleCnt="33" custLinFactNeighborX="-86916" custLinFactNeighborY="-94516">
        <dgm:presLayoutVars>
          <dgm:chPref val="3"/>
        </dgm:presLayoutVars>
      </dgm:prSet>
      <dgm:spPr/>
    </dgm:pt>
    <dgm:pt modelId="{74D5D304-E774-4136-A859-5154118CAF9B}" type="pres">
      <dgm:prSet presAssocID="{E83105C4-C03D-4F52-A3E0-4D891D29C2CA}" presName="level3hierChild" presStyleCnt="0"/>
      <dgm:spPr/>
    </dgm:pt>
    <dgm:pt modelId="{A585506C-4118-4BAB-AB42-E4F536F8632C}" type="pres">
      <dgm:prSet presAssocID="{93F8D4F0-77A9-4A3E-8D5A-D4A589BC3298}" presName="conn2-1" presStyleLbl="parChTrans1D4" presStyleIdx="12" presStyleCnt="33"/>
      <dgm:spPr/>
    </dgm:pt>
    <dgm:pt modelId="{A66065E4-354E-4E19-979D-381A3209E87E}" type="pres">
      <dgm:prSet presAssocID="{93F8D4F0-77A9-4A3E-8D5A-D4A589BC3298}" presName="connTx" presStyleLbl="parChTrans1D4" presStyleIdx="12" presStyleCnt="33"/>
      <dgm:spPr/>
    </dgm:pt>
    <dgm:pt modelId="{A7AE0CD6-D598-4600-8400-2707457163B1}" type="pres">
      <dgm:prSet presAssocID="{9EA212E2-6339-4EA2-815D-C5DA219B878C}" presName="root2" presStyleCnt="0"/>
      <dgm:spPr/>
    </dgm:pt>
    <dgm:pt modelId="{D73035F8-5613-4954-8E81-4A1816727585}" type="pres">
      <dgm:prSet presAssocID="{9EA212E2-6339-4EA2-815D-C5DA219B878C}" presName="LevelTwoTextNode" presStyleLbl="node4" presStyleIdx="12" presStyleCnt="33" custLinFactY="-9560" custLinFactNeighborX="-87800" custLinFactNeighborY="-100000">
        <dgm:presLayoutVars>
          <dgm:chPref val="3"/>
        </dgm:presLayoutVars>
      </dgm:prSet>
      <dgm:spPr/>
    </dgm:pt>
    <dgm:pt modelId="{6D83FC86-9010-4B36-9C1B-94B0B80D1EB1}" type="pres">
      <dgm:prSet presAssocID="{9EA212E2-6339-4EA2-815D-C5DA219B878C}" presName="level3hierChild" presStyleCnt="0"/>
      <dgm:spPr/>
    </dgm:pt>
    <dgm:pt modelId="{5AE63F79-B12E-4034-A16F-FCC085DB5583}" type="pres">
      <dgm:prSet presAssocID="{1FFD5BF2-2C7D-4F2D-9CA7-5994498F4EBE}" presName="conn2-1" presStyleLbl="parChTrans1D4" presStyleIdx="13" presStyleCnt="33"/>
      <dgm:spPr/>
    </dgm:pt>
    <dgm:pt modelId="{EE704537-0B13-4B79-A8C4-6A3B216F94C0}" type="pres">
      <dgm:prSet presAssocID="{1FFD5BF2-2C7D-4F2D-9CA7-5994498F4EBE}" presName="connTx" presStyleLbl="parChTrans1D4" presStyleIdx="13" presStyleCnt="33"/>
      <dgm:spPr/>
    </dgm:pt>
    <dgm:pt modelId="{AC446694-D213-461B-BE88-3976E0E3001F}" type="pres">
      <dgm:prSet presAssocID="{FD9B5D5D-839E-4F30-86B0-9114B14E2762}" presName="root2" presStyleCnt="0"/>
      <dgm:spPr/>
    </dgm:pt>
    <dgm:pt modelId="{2C0E393F-0E23-48A6-BC9F-7454C1263641}" type="pres">
      <dgm:prSet presAssocID="{FD9B5D5D-839E-4F30-86B0-9114B14E2762}" presName="LevelTwoTextNode" presStyleLbl="node4" presStyleIdx="13" presStyleCnt="33" custLinFactX="-152274" custLinFactY="-75773" custLinFactNeighborX="-200000" custLinFactNeighborY="-100000">
        <dgm:presLayoutVars>
          <dgm:chPref val="3"/>
        </dgm:presLayoutVars>
      </dgm:prSet>
      <dgm:spPr/>
    </dgm:pt>
    <dgm:pt modelId="{51C08B9F-5CC7-448F-9C38-C7A8682EAB10}" type="pres">
      <dgm:prSet presAssocID="{FD9B5D5D-839E-4F30-86B0-9114B14E2762}" presName="level3hierChild" presStyleCnt="0"/>
      <dgm:spPr/>
    </dgm:pt>
    <dgm:pt modelId="{CDD1F135-496B-4FA6-9A02-B40A53071DAB}" type="pres">
      <dgm:prSet presAssocID="{3035FD77-4B1A-4E8B-8236-2F85296C8E90}" presName="conn2-1" presStyleLbl="parChTrans1D4" presStyleIdx="14" presStyleCnt="33"/>
      <dgm:spPr/>
    </dgm:pt>
    <dgm:pt modelId="{87C17E78-8066-44D3-9D2B-93A16FB1ADB9}" type="pres">
      <dgm:prSet presAssocID="{3035FD77-4B1A-4E8B-8236-2F85296C8E90}" presName="connTx" presStyleLbl="parChTrans1D4" presStyleIdx="14" presStyleCnt="33"/>
      <dgm:spPr/>
    </dgm:pt>
    <dgm:pt modelId="{B7AC81B6-AA23-4D15-B252-F0986D0B2A08}" type="pres">
      <dgm:prSet presAssocID="{3D845190-CFA5-4D1E-909A-7494C8479E8D}" presName="root2" presStyleCnt="0"/>
      <dgm:spPr/>
    </dgm:pt>
    <dgm:pt modelId="{D41F4524-33ED-4F0A-9303-92A1B51534CF}" type="pres">
      <dgm:prSet presAssocID="{3D845190-CFA5-4D1E-909A-7494C8479E8D}" presName="LevelTwoTextNode" presStyleLbl="node4" presStyleIdx="14" presStyleCnt="33" custLinFactY="-13254" custLinFactNeighborX="-84941" custLinFactNeighborY="-100000">
        <dgm:presLayoutVars>
          <dgm:chPref val="3"/>
        </dgm:presLayoutVars>
      </dgm:prSet>
      <dgm:spPr/>
    </dgm:pt>
    <dgm:pt modelId="{C1B405FD-8B79-4D10-BE33-F06003782C7A}" type="pres">
      <dgm:prSet presAssocID="{3D845190-CFA5-4D1E-909A-7494C8479E8D}" presName="level3hierChild" presStyleCnt="0"/>
      <dgm:spPr/>
    </dgm:pt>
    <dgm:pt modelId="{744D6922-5585-4672-BAFB-6F9DAFE3EB6F}" type="pres">
      <dgm:prSet presAssocID="{C46BB5C1-4D23-40BC-A2DD-20BE88D59E54}" presName="conn2-1" presStyleLbl="parChTrans1D4" presStyleIdx="15" presStyleCnt="33"/>
      <dgm:spPr/>
    </dgm:pt>
    <dgm:pt modelId="{99A75DDF-6D8B-4F69-94D2-4BA9BD4F0A21}" type="pres">
      <dgm:prSet presAssocID="{C46BB5C1-4D23-40BC-A2DD-20BE88D59E54}" presName="connTx" presStyleLbl="parChTrans1D4" presStyleIdx="15" presStyleCnt="33"/>
      <dgm:spPr/>
    </dgm:pt>
    <dgm:pt modelId="{BCAED9BC-082C-4F89-98A8-1DD9B8AA875C}" type="pres">
      <dgm:prSet presAssocID="{BC62E15A-F4EB-4352-B053-AAE3728D5460}" presName="root2" presStyleCnt="0"/>
      <dgm:spPr/>
    </dgm:pt>
    <dgm:pt modelId="{FACEEFBA-22B6-431D-AF11-84C9128A9EBE}" type="pres">
      <dgm:prSet presAssocID="{BC62E15A-F4EB-4352-B053-AAE3728D5460}" presName="LevelTwoTextNode" presStyleLbl="node4" presStyleIdx="15" presStyleCnt="33" custLinFactY="-27881" custLinFactNeighborX="-85933" custLinFactNeighborY="-100000">
        <dgm:presLayoutVars>
          <dgm:chPref val="3"/>
        </dgm:presLayoutVars>
      </dgm:prSet>
      <dgm:spPr/>
    </dgm:pt>
    <dgm:pt modelId="{765F3967-79D1-49AF-93EF-5D72C62ED0EA}" type="pres">
      <dgm:prSet presAssocID="{BC62E15A-F4EB-4352-B053-AAE3728D5460}" presName="level3hierChild" presStyleCnt="0"/>
      <dgm:spPr/>
    </dgm:pt>
    <dgm:pt modelId="{C52FC2F3-9101-46C9-81CA-893FFF25529E}" type="pres">
      <dgm:prSet presAssocID="{EBC51BF5-E543-4D47-8CB2-7C2F52A789BC}" presName="conn2-1" presStyleLbl="parChTrans1D4" presStyleIdx="16" presStyleCnt="33"/>
      <dgm:spPr/>
    </dgm:pt>
    <dgm:pt modelId="{EECEE63E-0E29-4627-AE30-CDED66485EC6}" type="pres">
      <dgm:prSet presAssocID="{EBC51BF5-E543-4D47-8CB2-7C2F52A789BC}" presName="connTx" presStyleLbl="parChTrans1D4" presStyleIdx="16" presStyleCnt="33"/>
      <dgm:spPr/>
    </dgm:pt>
    <dgm:pt modelId="{34AA07BC-0879-4B95-9105-8E93F7CC2B8B}" type="pres">
      <dgm:prSet presAssocID="{2851900C-3997-49EB-95B8-E454017448F2}" presName="root2" presStyleCnt="0"/>
      <dgm:spPr/>
    </dgm:pt>
    <dgm:pt modelId="{C9CD7232-363F-400C-AF8F-7A1FE3A5207B}" type="pres">
      <dgm:prSet presAssocID="{2851900C-3997-49EB-95B8-E454017448F2}" presName="LevelTwoTextNode" presStyleLbl="node4" presStyleIdx="16" presStyleCnt="33" custLinFactY="-40719" custLinFactNeighborX="-86168" custLinFactNeighborY="-100000">
        <dgm:presLayoutVars>
          <dgm:chPref val="3"/>
        </dgm:presLayoutVars>
      </dgm:prSet>
      <dgm:spPr/>
    </dgm:pt>
    <dgm:pt modelId="{E539E1E1-3AF2-459B-A9C9-F773BA9E7428}" type="pres">
      <dgm:prSet presAssocID="{2851900C-3997-49EB-95B8-E454017448F2}" presName="level3hierChild" presStyleCnt="0"/>
      <dgm:spPr/>
    </dgm:pt>
    <dgm:pt modelId="{55F36CC3-0FAE-423A-80CF-C7265ECA2DE8}" type="pres">
      <dgm:prSet presAssocID="{D855C096-070D-4969-BE53-B524E43DC3FA}" presName="conn2-1" presStyleLbl="parChTrans1D4" presStyleIdx="17" presStyleCnt="33"/>
      <dgm:spPr/>
    </dgm:pt>
    <dgm:pt modelId="{8C1CADD3-FE95-43EA-A853-2D0C88E3A8A6}" type="pres">
      <dgm:prSet presAssocID="{D855C096-070D-4969-BE53-B524E43DC3FA}" presName="connTx" presStyleLbl="parChTrans1D4" presStyleIdx="17" presStyleCnt="33"/>
      <dgm:spPr/>
    </dgm:pt>
    <dgm:pt modelId="{3C2743A6-1475-4581-A8C9-B6A0532F989F}" type="pres">
      <dgm:prSet presAssocID="{D3E7ADEE-6B49-40CD-9CD7-404C7E63773B}" presName="root2" presStyleCnt="0"/>
      <dgm:spPr/>
    </dgm:pt>
    <dgm:pt modelId="{94209278-B199-41CF-9037-B2F6B25AE76B}" type="pres">
      <dgm:prSet presAssocID="{D3E7ADEE-6B49-40CD-9CD7-404C7E63773B}" presName="LevelTwoTextNode" presStyleLbl="node4" presStyleIdx="17" presStyleCnt="33" custLinFactX="-150853" custLinFactY="-100000" custLinFactNeighborX="-200000" custLinFactNeighborY="-162138">
        <dgm:presLayoutVars>
          <dgm:chPref val="3"/>
        </dgm:presLayoutVars>
      </dgm:prSet>
      <dgm:spPr/>
    </dgm:pt>
    <dgm:pt modelId="{5082E802-4787-4C5D-B607-11A25E921AA9}" type="pres">
      <dgm:prSet presAssocID="{D3E7ADEE-6B49-40CD-9CD7-404C7E63773B}" presName="level3hierChild" presStyleCnt="0"/>
      <dgm:spPr/>
    </dgm:pt>
    <dgm:pt modelId="{9C177D46-99B2-461A-A8CB-C27D88CBA076}" type="pres">
      <dgm:prSet presAssocID="{D035E1AB-C8C5-4747-A411-5761CFE0EB75}" presName="conn2-1" presStyleLbl="parChTrans1D4" presStyleIdx="18" presStyleCnt="33"/>
      <dgm:spPr/>
    </dgm:pt>
    <dgm:pt modelId="{81BBD952-4DD8-4294-AFAB-CD7398FED066}" type="pres">
      <dgm:prSet presAssocID="{D035E1AB-C8C5-4747-A411-5761CFE0EB75}" presName="connTx" presStyleLbl="parChTrans1D4" presStyleIdx="18" presStyleCnt="33"/>
      <dgm:spPr/>
    </dgm:pt>
    <dgm:pt modelId="{5E1C66D4-C1AD-4304-9344-0B71A6C37018}" type="pres">
      <dgm:prSet presAssocID="{F3CF47C3-2823-4766-BEB5-BEEFE850A97E}" presName="root2" presStyleCnt="0"/>
      <dgm:spPr/>
    </dgm:pt>
    <dgm:pt modelId="{AEEE4545-E644-4031-909F-822631E5781D}" type="pres">
      <dgm:prSet presAssocID="{F3CF47C3-2823-4766-BEB5-BEEFE850A97E}" presName="LevelTwoTextNode" presStyleLbl="node4" presStyleIdx="18" presStyleCnt="33" custLinFactY="-47409" custLinFactNeighborX="-87652" custLinFactNeighborY="-100000">
        <dgm:presLayoutVars>
          <dgm:chPref val="3"/>
        </dgm:presLayoutVars>
      </dgm:prSet>
      <dgm:spPr/>
    </dgm:pt>
    <dgm:pt modelId="{C62CB1CB-273A-4100-A596-50BBAF706CBD}" type="pres">
      <dgm:prSet presAssocID="{F3CF47C3-2823-4766-BEB5-BEEFE850A97E}" presName="level3hierChild" presStyleCnt="0"/>
      <dgm:spPr/>
    </dgm:pt>
    <dgm:pt modelId="{CAF4066F-373F-4E35-BC0E-01F9BFB88D59}" type="pres">
      <dgm:prSet presAssocID="{670E79AA-D64C-4236-B240-551A32235EAB}" presName="conn2-1" presStyleLbl="parChTrans1D4" presStyleIdx="19" presStyleCnt="33"/>
      <dgm:spPr/>
    </dgm:pt>
    <dgm:pt modelId="{2F7518E0-6D8B-46C4-A5B7-CCF792C73896}" type="pres">
      <dgm:prSet presAssocID="{670E79AA-D64C-4236-B240-551A32235EAB}" presName="connTx" presStyleLbl="parChTrans1D4" presStyleIdx="19" presStyleCnt="33"/>
      <dgm:spPr/>
    </dgm:pt>
    <dgm:pt modelId="{1D5CC65F-9273-467D-8280-CB65430028E0}" type="pres">
      <dgm:prSet presAssocID="{83417E98-F476-40F5-9F4B-5FEA4F0A80B0}" presName="root2" presStyleCnt="0"/>
      <dgm:spPr/>
    </dgm:pt>
    <dgm:pt modelId="{CFC1A9B1-BB96-4A4E-BF5E-17397D293831}" type="pres">
      <dgm:prSet presAssocID="{83417E98-F476-40F5-9F4B-5FEA4F0A80B0}" presName="LevelTwoTextNode" presStyleLbl="node4" presStyleIdx="19" presStyleCnt="33" custLinFactY="-59163" custLinFactNeighborX="-88710" custLinFactNeighborY="-100000">
        <dgm:presLayoutVars>
          <dgm:chPref val="3"/>
        </dgm:presLayoutVars>
      </dgm:prSet>
      <dgm:spPr/>
    </dgm:pt>
    <dgm:pt modelId="{E974A3C7-FAB2-49FD-BA96-C1D98D02D7D8}" type="pres">
      <dgm:prSet presAssocID="{83417E98-F476-40F5-9F4B-5FEA4F0A80B0}" presName="level3hierChild" presStyleCnt="0"/>
      <dgm:spPr/>
    </dgm:pt>
    <dgm:pt modelId="{6AAF7069-20AD-48C4-AB99-29057A9498CA}" type="pres">
      <dgm:prSet presAssocID="{7F117EB2-8294-4C07-B90A-53C89D0FC749}" presName="conn2-1" presStyleLbl="parChTrans1D4" presStyleIdx="20" presStyleCnt="33"/>
      <dgm:spPr/>
    </dgm:pt>
    <dgm:pt modelId="{443D4BCE-908C-4547-B51F-5083FA7BFEAF}" type="pres">
      <dgm:prSet presAssocID="{7F117EB2-8294-4C07-B90A-53C89D0FC749}" presName="connTx" presStyleLbl="parChTrans1D4" presStyleIdx="20" presStyleCnt="33"/>
      <dgm:spPr/>
    </dgm:pt>
    <dgm:pt modelId="{1CF7BF30-CC50-4995-864D-5C788F693C2B}" type="pres">
      <dgm:prSet presAssocID="{CE73F15F-8269-4875-806A-F260B144D0C8}" presName="root2" presStyleCnt="0"/>
      <dgm:spPr/>
    </dgm:pt>
    <dgm:pt modelId="{53A53E49-EAF0-4FF0-B07C-F648FF7970B5}" type="pres">
      <dgm:prSet presAssocID="{CE73F15F-8269-4875-806A-F260B144D0C8}" presName="LevelTwoTextNode" presStyleLbl="node4" presStyleIdx="20" presStyleCnt="33" custLinFactY="-72592" custLinFactNeighborX="-85684" custLinFactNeighborY="-100000">
        <dgm:presLayoutVars>
          <dgm:chPref val="3"/>
        </dgm:presLayoutVars>
      </dgm:prSet>
      <dgm:spPr/>
    </dgm:pt>
    <dgm:pt modelId="{1B37753B-A405-425F-9844-97CBC7CD886A}" type="pres">
      <dgm:prSet presAssocID="{CE73F15F-8269-4875-806A-F260B144D0C8}" presName="level3hierChild" presStyleCnt="0"/>
      <dgm:spPr/>
    </dgm:pt>
    <dgm:pt modelId="{CCBE097A-A328-45DA-8008-61B8A5499C49}" type="pres">
      <dgm:prSet presAssocID="{99F05618-7FC1-4765-B3F3-5DC4279CB717}" presName="conn2-1" presStyleLbl="parChTrans1D3" presStyleIdx="4" presStyleCnt="5"/>
      <dgm:spPr/>
    </dgm:pt>
    <dgm:pt modelId="{EFBB9E38-16DF-4345-A2ED-A29C0C5289C4}" type="pres">
      <dgm:prSet presAssocID="{99F05618-7FC1-4765-B3F3-5DC4279CB717}" presName="connTx" presStyleLbl="parChTrans1D3" presStyleIdx="4" presStyleCnt="5"/>
      <dgm:spPr/>
    </dgm:pt>
    <dgm:pt modelId="{37379BA6-8DEF-441B-A4B5-72E7C71A77AB}" type="pres">
      <dgm:prSet presAssocID="{3B3B1340-FA92-46A6-9AB1-52D50A09A7CF}" presName="root2" presStyleCnt="0"/>
      <dgm:spPr/>
    </dgm:pt>
    <dgm:pt modelId="{FFA93BCF-919A-45E2-84FF-2A9716D017D3}" type="pres">
      <dgm:prSet presAssocID="{3B3B1340-FA92-46A6-9AB1-52D50A09A7CF}" presName="LevelTwoTextNode" presStyleLbl="node3" presStyleIdx="4" presStyleCnt="5" custLinFactX="-225790" custLinFactY="-219458" custLinFactNeighborX="-300000" custLinFactNeighborY="-300000">
        <dgm:presLayoutVars>
          <dgm:chPref val="3"/>
        </dgm:presLayoutVars>
      </dgm:prSet>
      <dgm:spPr/>
    </dgm:pt>
    <dgm:pt modelId="{BF32E8D3-0A7A-47F4-9475-0F6330AE4C26}" type="pres">
      <dgm:prSet presAssocID="{3B3B1340-FA92-46A6-9AB1-52D50A09A7CF}" presName="level3hierChild" presStyleCnt="0"/>
      <dgm:spPr/>
    </dgm:pt>
    <dgm:pt modelId="{A6252E0F-B259-401D-B679-A5F5974B8103}" type="pres">
      <dgm:prSet presAssocID="{735BC54A-8C71-4A11-9318-8ECA5805A9B5}" presName="conn2-1" presStyleLbl="parChTrans1D4" presStyleIdx="21" presStyleCnt="33"/>
      <dgm:spPr/>
    </dgm:pt>
    <dgm:pt modelId="{CF72B0C9-3A25-4A0A-A010-CE694AF5A5ED}" type="pres">
      <dgm:prSet presAssocID="{735BC54A-8C71-4A11-9318-8ECA5805A9B5}" presName="connTx" presStyleLbl="parChTrans1D4" presStyleIdx="21" presStyleCnt="33"/>
      <dgm:spPr/>
    </dgm:pt>
    <dgm:pt modelId="{5B4C70BF-B58D-4890-90E2-A024E248F637}" type="pres">
      <dgm:prSet presAssocID="{B42E0C94-89B9-4200-BD7E-6C6EC8CBDB81}" presName="root2" presStyleCnt="0"/>
      <dgm:spPr/>
    </dgm:pt>
    <dgm:pt modelId="{8A025657-39FB-4171-A16C-01A82D850634}" type="pres">
      <dgm:prSet presAssocID="{B42E0C94-89B9-4200-BD7E-6C6EC8CBDB81}" presName="LevelTwoTextNode" presStyleLbl="node4" presStyleIdx="21" presStyleCnt="33" custLinFactX="-148175" custLinFactY="-100000" custLinFactNeighborX="-200000" custLinFactNeighborY="-192336">
        <dgm:presLayoutVars>
          <dgm:chPref val="3"/>
        </dgm:presLayoutVars>
      </dgm:prSet>
      <dgm:spPr/>
    </dgm:pt>
    <dgm:pt modelId="{5F91DA36-AA47-495D-B865-08DAC787E3C9}" type="pres">
      <dgm:prSet presAssocID="{B42E0C94-89B9-4200-BD7E-6C6EC8CBDB81}" presName="level3hierChild" presStyleCnt="0"/>
      <dgm:spPr/>
    </dgm:pt>
    <dgm:pt modelId="{856AD367-FAFC-44F4-BAA0-71AFC1172E52}" type="pres">
      <dgm:prSet presAssocID="{A738FA26-A880-4D1F-A246-B67FD8CF23B8}" presName="conn2-1" presStyleLbl="parChTrans1D4" presStyleIdx="22" presStyleCnt="33"/>
      <dgm:spPr/>
    </dgm:pt>
    <dgm:pt modelId="{241999AB-E15C-456E-B48D-2EBEFD01E329}" type="pres">
      <dgm:prSet presAssocID="{A738FA26-A880-4D1F-A246-B67FD8CF23B8}" presName="connTx" presStyleLbl="parChTrans1D4" presStyleIdx="22" presStyleCnt="33"/>
      <dgm:spPr/>
    </dgm:pt>
    <dgm:pt modelId="{CAC32B10-0495-44AA-A0FB-4E879E5A250D}" type="pres">
      <dgm:prSet presAssocID="{A881F125-10A4-4D7D-9ECA-E45E5A54C620}" presName="root2" presStyleCnt="0"/>
      <dgm:spPr/>
    </dgm:pt>
    <dgm:pt modelId="{1ADA4035-2C60-4212-BEF6-080403AD4EF0}" type="pres">
      <dgm:prSet presAssocID="{A881F125-10A4-4D7D-9ECA-E45E5A54C620}" presName="LevelTwoTextNode" presStyleLbl="node4" presStyleIdx="22" presStyleCnt="33" custLinFactY="-82212" custLinFactNeighborX="-84800" custLinFactNeighborY="-100000">
        <dgm:presLayoutVars>
          <dgm:chPref val="3"/>
        </dgm:presLayoutVars>
      </dgm:prSet>
      <dgm:spPr/>
    </dgm:pt>
    <dgm:pt modelId="{8FD8F133-C065-4B4A-B727-4BDDC90F09F2}" type="pres">
      <dgm:prSet presAssocID="{A881F125-10A4-4D7D-9ECA-E45E5A54C620}" presName="level3hierChild" presStyleCnt="0"/>
      <dgm:spPr/>
    </dgm:pt>
    <dgm:pt modelId="{2F4F37EC-78E4-45CD-9260-D10402B6DFC4}" type="pres">
      <dgm:prSet presAssocID="{CF855B15-9778-4A78-9E1F-A895BA1F7E9E}" presName="conn2-1" presStyleLbl="parChTrans1D4" presStyleIdx="23" presStyleCnt="33"/>
      <dgm:spPr/>
    </dgm:pt>
    <dgm:pt modelId="{F6B2C779-22D7-4760-A258-BD4551DB5112}" type="pres">
      <dgm:prSet presAssocID="{CF855B15-9778-4A78-9E1F-A895BA1F7E9E}" presName="connTx" presStyleLbl="parChTrans1D4" presStyleIdx="23" presStyleCnt="33"/>
      <dgm:spPr/>
    </dgm:pt>
    <dgm:pt modelId="{F9892E9C-5462-49D8-9769-8A6E666F424F}" type="pres">
      <dgm:prSet presAssocID="{1181B2BD-2F74-4A6F-B08D-D94DA96A549E}" presName="root2" presStyleCnt="0"/>
      <dgm:spPr/>
    </dgm:pt>
    <dgm:pt modelId="{F3B0C31A-5F32-4D8F-B82B-D68B163118D8}" type="pres">
      <dgm:prSet presAssocID="{1181B2BD-2F74-4A6F-B08D-D94DA96A549E}" presName="LevelTwoTextNode" presStyleLbl="node4" presStyleIdx="23" presStyleCnt="33" custLinFactY="-98881" custLinFactNeighborX="-86478" custLinFactNeighborY="-100000">
        <dgm:presLayoutVars>
          <dgm:chPref val="3"/>
        </dgm:presLayoutVars>
      </dgm:prSet>
      <dgm:spPr/>
    </dgm:pt>
    <dgm:pt modelId="{95BB4CB6-E48C-4C03-9CDD-9AC204332B32}" type="pres">
      <dgm:prSet presAssocID="{1181B2BD-2F74-4A6F-B08D-D94DA96A549E}" presName="level3hierChild" presStyleCnt="0"/>
      <dgm:spPr/>
    </dgm:pt>
    <dgm:pt modelId="{9BA799D1-1109-4122-91C3-9C4695841696}" type="pres">
      <dgm:prSet presAssocID="{076A39E7-AFB9-4773-A4EF-CEC14A0AAE35}" presName="conn2-1" presStyleLbl="parChTrans1D4" presStyleIdx="24" presStyleCnt="33"/>
      <dgm:spPr/>
    </dgm:pt>
    <dgm:pt modelId="{593EB226-3BDF-4481-A2AE-6A5756E122EB}" type="pres">
      <dgm:prSet presAssocID="{076A39E7-AFB9-4773-A4EF-CEC14A0AAE35}" presName="connTx" presStyleLbl="parChTrans1D4" presStyleIdx="24" presStyleCnt="33"/>
      <dgm:spPr/>
    </dgm:pt>
    <dgm:pt modelId="{D2F2D606-D34C-43C3-8D5F-4596994EDD34}" type="pres">
      <dgm:prSet presAssocID="{3C605B6A-2C20-41F4-A7AB-77B828D98A83}" presName="root2" presStyleCnt="0"/>
      <dgm:spPr/>
    </dgm:pt>
    <dgm:pt modelId="{372B3983-125C-42F7-8252-C0A4985D82B1}" type="pres">
      <dgm:prSet presAssocID="{3C605B6A-2C20-41F4-A7AB-77B828D98A83}" presName="LevelTwoTextNode" presStyleLbl="node4" presStyleIdx="24" presStyleCnt="33" custLinFactY="-100000" custLinFactNeighborX="-85074" custLinFactNeighborY="-113348">
        <dgm:presLayoutVars>
          <dgm:chPref val="3"/>
        </dgm:presLayoutVars>
      </dgm:prSet>
      <dgm:spPr/>
    </dgm:pt>
    <dgm:pt modelId="{6FF540F0-0932-4B36-8BA3-81C9ED8B4897}" type="pres">
      <dgm:prSet presAssocID="{3C605B6A-2C20-41F4-A7AB-77B828D98A83}" presName="level3hierChild" presStyleCnt="0"/>
      <dgm:spPr/>
    </dgm:pt>
    <dgm:pt modelId="{62FF1B95-6D37-432F-A77D-E6358BD98A71}" type="pres">
      <dgm:prSet presAssocID="{D91732D2-8DC1-4440-82B7-FE4475CEA2AD}" presName="conn2-1" presStyleLbl="parChTrans1D4" presStyleIdx="25" presStyleCnt="33"/>
      <dgm:spPr/>
    </dgm:pt>
    <dgm:pt modelId="{AD1C266F-6A31-4DDF-9AFE-E5E7222D3851}" type="pres">
      <dgm:prSet presAssocID="{D91732D2-8DC1-4440-82B7-FE4475CEA2AD}" presName="connTx" presStyleLbl="parChTrans1D4" presStyleIdx="25" presStyleCnt="33"/>
      <dgm:spPr/>
    </dgm:pt>
    <dgm:pt modelId="{8F7B92AF-A9BE-40EF-930B-C215C7733F23}" type="pres">
      <dgm:prSet presAssocID="{ED44482E-F76F-49C8-A5D3-B3BE87B8DA96}" presName="root2" presStyleCnt="0"/>
      <dgm:spPr/>
    </dgm:pt>
    <dgm:pt modelId="{A8291943-30B5-42C5-BCC9-8B7F6DAA6093}" type="pres">
      <dgm:prSet presAssocID="{ED44482E-F76F-49C8-A5D3-B3BE87B8DA96}" presName="LevelTwoTextNode" presStyleLbl="node4" presStyleIdx="25" presStyleCnt="33" custLinFactX="-145458" custLinFactY="-192628" custLinFactNeighborX="-200000" custLinFactNeighborY="-200000">
        <dgm:presLayoutVars>
          <dgm:chPref val="3"/>
        </dgm:presLayoutVars>
      </dgm:prSet>
      <dgm:spPr/>
    </dgm:pt>
    <dgm:pt modelId="{E8BF973F-A833-4254-A6BC-1379C27C50CA}" type="pres">
      <dgm:prSet presAssocID="{ED44482E-F76F-49C8-A5D3-B3BE87B8DA96}" presName="level3hierChild" presStyleCnt="0"/>
      <dgm:spPr/>
    </dgm:pt>
    <dgm:pt modelId="{5AC1D62A-FB70-4C67-A0F4-FB4F9392648B}" type="pres">
      <dgm:prSet presAssocID="{8B919FA7-2DDC-49A6-AACC-5AABC5BD57A8}" presName="conn2-1" presStyleLbl="parChTrans1D4" presStyleIdx="26" presStyleCnt="33"/>
      <dgm:spPr/>
    </dgm:pt>
    <dgm:pt modelId="{FCC431D7-A4EC-42FB-9B23-EA43ED7A70BD}" type="pres">
      <dgm:prSet presAssocID="{8B919FA7-2DDC-49A6-AACC-5AABC5BD57A8}" presName="connTx" presStyleLbl="parChTrans1D4" presStyleIdx="26" presStyleCnt="33"/>
      <dgm:spPr/>
    </dgm:pt>
    <dgm:pt modelId="{939998C2-903D-43AA-91E8-9709BB5FCFBE}" type="pres">
      <dgm:prSet presAssocID="{3C71D43B-8424-4435-B6D3-1CAC6F02560A}" presName="root2" presStyleCnt="0"/>
      <dgm:spPr/>
    </dgm:pt>
    <dgm:pt modelId="{8B3BA243-0A3B-4300-BAAA-B807771E0224}" type="pres">
      <dgm:prSet presAssocID="{3C71D43B-8424-4435-B6D3-1CAC6F02560A}" presName="LevelTwoTextNode" presStyleLbl="node4" presStyleIdx="26" presStyleCnt="33" custLinFactY="-100000" custLinFactNeighborX="-86238" custLinFactNeighborY="-123651">
        <dgm:presLayoutVars>
          <dgm:chPref val="3"/>
        </dgm:presLayoutVars>
      </dgm:prSet>
      <dgm:spPr/>
    </dgm:pt>
    <dgm:pt modelId="{CEFE9359-9648-4912-8CF1-39EA52C4737F}" type="pres">
      <dgm:prSet presAssocID="{3C71D43B-8424-4435-B6D3-1CAC6F02560A}" presName="level3hierChild" presStyleCnt="0"/>
      <dgm:spPr/>
    </dgm:pt>
    <dgm:pt modelId="{5FC6D9E7-69F8-4B0A-A352-ECD27A83825A}" type="pres">
      <dgm:prSet presAssocID="{4472B684-3403-4242-8F8A-19D17B7E3BA4}" presName="conn2-1" presStyleLbl="parChTrans1D4" presStyleIdx="27" presStyleCnt="33"/>
      <dgm:spPr/>
    </dgm:pt>
    <dgm:pt modelId="{6E66AB1C-2C49-456C-ADF9-CE230A0402D0}" type="pres">
      <dgm:prSet presAssocID="{4472B684-3403-4242-8F8A-19D17B7E3BA4}" presName="connTx" presStyleLbl="parChTrans1D4" presStyleIdx="27" presStyleCnt="33"/>
      <dgm:spPr/>
    </dgm:pt>
    <dgm:pt modelId="{A71853AD-29AA-4C3F-9914-E4C86120FD97}" type="pres">
      <dgm:prSet presAssocID="{7D8374CC-B2E7-450E-82B6-6AEE3F21BCB7}" presName="root2" presStyleCnt="0"/>
      <dgm:spPr/>
    </dgm:pt>
    <dgm:pt modelId="{124B8A3C-B1B0-4EFB-A9D2-ED8013DC7199}" type="pres">
      <dgm:prSet presAssocID="{7D8374CC-B2E7-450E-82B6-6AEE3F21BCB7}" presName="LevelTwoTextNode" presStyleLbl="node4" presStyleIdx="27" presStyleCnt="33" custLinFactY="-100000" custLinFactNeighborX="-85663" custLinFactNeighborY="-136708">
        <dgm:presLayoutVars>
          <dgm:chPref val="3"/>
        </dgm:presLayoutVars>
      </dgm:prSet>
      <dgm:spPr/>
    </dgm:pt>
    <dgm:pt modelId="{D2D16481-086D-4C21-A968-A70F3E671EF9}" type="pres">
      <dgm:prSet presAssocID="{7D8374CC-B2E7-450E-82B6-6AEE3F21BCB7}" presName="level3hierChild" presStyleCnt="0"/>
      <dgm:spPr/>
    </dgm:pt>
    <dgm:pt modelId="{E70D854E-8080-45EA-BCFF-31144620A878}" type="pres">
      <dgm:prSet presAssocID="{7684DF46-84D8-4C50-8A9F-31EA8213FB8F}" presName="conn2-1" presStyleLbl="parChTrans1D4" presStyleIdx="28" presStyleCnt="33"/>
      <dgm:spPr/>
    </dgm:pt>
    <dgm:pt modelId="{E34D27DB-4B13-4000-A993-55A76E088639}" type="pres">
      <dgm:prSet presAssocID="{7684DF46-84D8-4C50-8A9F-31EA8213FB8F}" presName="connTx" presStyleLbl="parChTrans1D4" presStyleIdx="28" presStyleCnt="33"/>
      <dgm:spPr/>
    </dgm:pt>
    <dgm:pt modelId="{C66E483E-F361-4A5E-B986-F8CEE5EC0827}" type="pres">
      <dgm:prSet presAssocID="{EF14C6D9-354A-40A8-AED3-66A309EA9A1C}" presName="root2" presStyleCnt="0"/>
      <dgm:spPr/>
    </dgm:pt>
    <dgm:pt modelId="{6075489B-5940-497B-9294-633308A2A0BD}" type="pres">
      <dgm:prSet presAssocID="{EF14C6D9-354A-40A8-AED3-66A309EA9A1C}" presName="LevelTwoTextNode" presStyleLbl="node4" presStyleIdx="28" presStyleCnt="33" custLinFactY="-100000" custLinFactNeighborX="-85065" custLinFactNeighborY="-147637">
        <dgm:presLayoutVars>
          <dgm:chPref val="3"/>
        </dgm:presLayoutVars>
      </dgm:prSet>
      <dgm:spPr/>
    </dgm:pt>
    <dgm:pt modelId="{5D62A23E-870A-4F2A-A232-E57387918504}" type="pres">
      <dgm:prSet presAssocID="{EF14C6D9-354A-40A8-AED3-66A309EA9A1C}" presName="level3hierChild" presStyleCnt="0"/>
      <dgm:spPr/>
    </dgm:pt>
    <dgm:pt modelId="{45BD0619-0D54-4046-82CB-DE03B14D99E3}" type="pres">
      <dgm:prSet presAssocID="{06E5BE98-7C60-4105-AEEF-933B442BA28E}" presName="conn2-1" presStyleLbl="parChTrans1D4" presStyleIdx="29" presStyleCnt="33"/>
      <dgm:spPr/>
    </dgm:pt>
    <dgm:pt modelId="{82872A9C-199B-4C17-AF92-529790BF2556}" type="pres">
      <dgm:prSet presAssocID="{06E5BE98-7C60-4105-AEEF-933B442BA28E}" presName="connTx" presStyleLbl="parChTrans1D4" presStyleIdx="29" presStyleCnt="33"/>
      <dgm:spPr/>
    </dgm:pt>
    <dgm:pt modelId="{9DE26B18-0FE5-4B4B-99D6-0F15B3B9BD90}" type="pres">
      <dgm:prSet presAssocID="{AFFA59BD-AF0C-4CF7-ADE9-D19CA678A1F9}" presName="root2" presStyleCnt="0"/>
      <dgm:spPr/>
    </dgm:pt>
    <dgm:pt modelId="{D7EA5790-B178-47FE-9C01-A66C6D42B9F8}" type="pres">
      <dgm:prSet presAssocID="{AFFA59BD-AF0C-4CF7-ADE9-D19CA678A1F9}" presName="LevelTwoTextNode" presStyleLbl="node4" presStyleIdx="29" presStyleCnt="33" custLinFactX="-147288" custLinFactY="-200000" custLinFactNeighborX="-200000" custLinFactNeighborY="-243363">
        <dgm:presLayoutVars>
          <dgm:chPref val="3"/>
        </dgm:presLayoutVars>
      </dgm:prSet>
      <dgm:spPr/>
    </dgm:pt>
    <dgm:pt modelId="{08D3FA03-3074-4FCF-882B-380669F964AB}" type="pres">
      <dgm:prSet presAssocID="{AFFA59BD-AF0C-4CF7-ADE9-D19CA678A1F9}" presName="level3hierChild" presStyleCnt="0"/>
      <dgm:spPr/>
    </dgm:pt>
    <dgm:pt modelId="{8E1370CB-93F8-444F-9967-D936788E3695}" type="pres">
      <dgm:prSet presAssocID="{C52616F3-CF73-4718-8D5B-F7D18E678C1A}" presName="conn2-1" presStyleLbl="parChTrans1D4" presStyleIdx="30" presStyleCnt="33"/>
      <dgm:spPr/>
    </dgm:pt>
    <dgm:pt modelId="{EFF2473B-71BC-48BA-85EC-BCE456195BC6}" type="pres">
      <dgm:prSet presAssocID="{C52616F3-CF73-4718-8D5B-F7D18E678C1A}" presName="connTx" presStyleLbl="parChTrans1D4" presStyleIdx="30" presStyleCnt="33"/>
      <dgm:spPr/>
    </dgm:pt>
    <dgm:pt modelId="{32FCABA9-E08B-41C3-8B2C-06D5EB4D66FA}" type="pres">
      <dgm:prSet presAssocID="{7A1DAAD1-8B77-414E-81EA-D42CF82316B0}" presName="root2" presStyleCnt="0"/>
      <dgm:spPr/>
    </dgm:pt>
    <dgm:pt modelId="{9DC7CF2B-1804-4041-BD69-E2304806DB27}" type="pres">
      <dgm:prSet presAssocID="{7A1DAAD1-8B77-414E-81EA-D42CF82316B0}" presName="LevelTwoTextNode" presStyleLbl="node4" presStyleIdx="30" presStyleCnt="33" custLinFactY="-100000" custLinFactNeighborX="-85351" custLinFactNeighborY="-155396">
        <dgm:presLayoutVars>
          <dgm:chPref val="3"/>
        </dgm:presLayoutVars>
      </dgm:prSet>
      <dgm:spPr/>
    </dgm:pt>
    <dgm:pt modelId="{D9F32C28-2E2F-45D1-9113-E8645165CC60}" type="pres">
      <dgm:prSet presAssocID="{7A1DAAD1-8B77-414E-81EA-D42CF82316B0}" presName="level3hierChild" presStyleCnt="0"/>
      <dgm:spPr/>
    </dgm:pt>
    <dgm:pt modelId="{9D1EE0C2-8EE5-4F39-93CC-864F4CC3BCC6}" type="pres">
      <dgm:prSet presAssocID="{60765861-58B4-4477-8066-795E56DB82E3}" presName="conn2-1" presStyleLbl="parChTrans1D4" presStyleIdx="31" presStyleCnt="33"/>
      <dgm:spPr/>
    </dgm:pt>
    <dgm:pt modelId="{2DE8C733-1982-4BC3-A837-59E7A307940E}" type="pres">
      <dgm:prSet presAssocID="{60765861-58B4-4477-8066-795E56DB82E3}" presName="connTx" presStyleLbl="parChTrans1D4" presStyleIdx="31" presStyleCnt="33"/>
      <dgm:spPr/>
    </dgm:pt>
    <dgm:pt modelId="{6C9BA007-2D90-4926-A5C2-0399B61F0DB5}" type="pres">
      <dgm:prSet presAssocID="{D915F904-124A-4839-B2F4-C2FB5E728311}" presName="root2" presStyleCnt="0"/>
      <dgm:spPr/>
    </dgm:pt>
    <dgm:pt modelId="{20D586A9-EDF2-4899-BBF0-A1F3A496D4A5}" type="pres">
      <dgm:prSet presAssocID="{D915F904-124A-4839-B2F4-C2FB5E728311}" presName="LevelTwoTextNode" presStyleLbl="node4" presStyleIdx="31" presStyleCnt="33" custLinFactY="-100000" custLinFactNeighborX="-85242" custLinFactNeighborY="-163155">
        <dgm:presLayoutVars>
          <dgm:chPref val="3"/>
        </dgm:presLayoutVars>
      </dgm:prSet>
      <dgm:spPr/>
    </dgm:pt>
    <dgm:pt modelId="{9146F158-291A-4C0B-95C7-A03D4E2B1C71}" type="pres">
      <dgm:prSet presAssocID="{D915F904-124A-4839-B2F4-C2FB5E728311}" presName="level3hierChild" presStyleCnt="0"/>
      <dgm:spPr/>
    </dgm:pt>
    <dgm:pt modelId="{D13A4E2C-792A-4797-A676-79017289C004}" type="pres">
      <dgm:prSet presAssocID="{2B930E41-CF0D-4952-8173-9F948B6566BA}" presName="conn2-1" presStyleLbl="parChTrans1D4" presStyleIdx="32" presStyleCnt="33"/>
      <dgm:spPr/>
    </dgm:pt>
    <dgm:pt modelId="{9AAA81AA-DF85-477F-9C07-5A702C952A8A}" type="pres">
      <dgm:prSet presAssocID="{2B930E41-CF0D-4952-8173-9F948B6566BA}" presName="connTx" presStyleLbl="parChTrans1D4" presStyleIdx="32" presStyleCnt="33"/>
      <dgm:spPr/>
    </dgm:pt>
    <dgm:pt modelId="{3571541B-AA70-4996-8046-6A44CAD630C7}" type="pres">
      <dgm:prSet presAssocID="{6F7E3DE7-8B44-472A-B5F7-7882D8D63FD2}" presName="root2" presStyleCnt="0"/>
      <dgm:spPr/>
    </dgm:pt>
    <dgm:pt modelId="{427FF2AB-787A-4231-92EA-8E008CD340BA}" type="pres">
      <dgm:prSet presAssocID="{6F7E3DE7-8B44-472A-B5F7-7882D8D63FD2}" presName="LevelTwoTextNode" presStyleLbl="node4" presStyleIdx="32" presStyleCnt="33" custLinFactY="-100000" custLinFactNeighborX="-83949" custLinFactNeighborY="-171265">
        <dgm:presLayoutVars>
          <dgm:chPref val="3"/>
        </dgm:presLayoutVars>
      </dgm:prSet>
      <dgm:spPr/>
    </dgm:pt>
    <dgm:pt modelId="{FB01DE99-B111-45C6-A80C-4CB63FF0052B}" type="pres">
      <dgm:prSet presAssocID="{6F7E3DE7-8B44-472A-B5F7-7882D8D63FD2}" presName="level3hierChild" presStyleCnt="0"/>
      <dgm:spPr/>
    </dgm:pt>
  </dgm:ptLst>
  <dgm:cxnLst>
    <dgm:cxn modelId="{D6006101-DAED-4DAB-8AD1-193BB54CA92C}" type="presOf" srcId="{F380FF1E-9A6F-4DDB-8709-897C754CEA8B}" destId="{F71E58EA-0CDA-47F6-A95B-E22E0F5ED500}" srcOrd="0" destOrd="0" presId="urn:microsoft.com/office/officeart/2005/8/layout/hierarchy2"/>
    <dgm:cxn modelId="{1259C902-E17D-466E-AE24-2434462E8FB0}" type="presOf" srcId="{1E1A7748-F669-4BD0-9DCC-B60264D52951}" destId="{F585E2FE-3908-489A-A306-B9316D5C8515}" srcOrd="0" destOrd="0" presId="urn:microsoft.com/office/officeart/2005/8/layout/hierarchy2"/>
    <dgm:cxn modelId="{F1782706-29C8-438A-B9FB-A1A3159381A2}" type="presOf" srcId="{F3CF47C3-2823-4766-BEB5-BEEFE850A97E}" destId="{AEEE4545-E644-4031-909F-822631E5781D}" srcOrd="0" destOrd="0" presId="urn:microsoft.com/office/officeart/2005/8/layout/hierarchy2"/>
    <dgm:cxn modelId="{B0890107-10AA-4775-BF32-34AAA3DDD2FB}" srcId="{3B3B1340-FA92-46A6-9AB1-52D50A09A7CF}" destId="{B42E0C94-89B9-4200-BD7E-6C6EC8CBDB81}" srcOrd="0" destOrd="0" parTransId="{735BC54A-8C71-4A11-9318-8ECA5805A9B5}" sibTransId="{DCE4F4A7-F961-4F88-82A0-11565AA5C140}"/>
    <dgm:cxn modelId="{8D5CC507-5A7B-43AE-90AC-D00E3264315D}" srcId="{3B3B1340-FA92-46A6-9AB1-52D50A09A7CF}" destId="{AFFA59BD-AF0C-4CF7-ADE9-D19CA678A1F9}" srcOrd="2" destOrd="0" parTransId="{06E5BE98-7C60-4105-AEEF-933B442BA28E}" sibTransId="{37003293-4B20-41AF-9FE9-114CB5BBC1A3}"/>
    <dgm:cxn modelId="{0693EB07-77AF-4354-8794-1BA7EB0E5422}" type="presOf" srcId="{51A25E72-2ABD-4D0A-8ECD-DA12FFBEA455}" destId="{972B2748-129F-440C-B3DD-CF89C6ECA59F}" srcOrd="1" destOrd="0" presId="urn:microsoft.com/office/officeart/2005/8/layout/hierarchy2"/>
    <dgm:cxn modelId="{A3036F08-30FA-429E-BFE8-0029ED3F175D}" srcId="{4F3651C3-11F1-4999-9C97-C9E9D89F731E}" destId="{23DCCBCE-F028-42E8-8B5F-1643C8335B30}" srcOrd="0" destOrd="0" parTransId="{2018CD79-6097-4D9B-809D-D50F800D8303}" sibTransId="{5A0FA034-8208-48AF-8383-0CD051E8956A}"/>
    <dgm:cxn modelId="{4F9CC109-566F-4FA1-9E01-4A7C22CB63D7}" srcId="{D3E7ADEE-6B49-40CD-9CD7-404C7E63773B}" destId="{83417E98-F476-40F5-9F4B-5FEA4F0A80B0}" srcOrd="1" destOrd="0" parTransId="{670E79AA-D64C-4236-B240-551A32235EAB}" sibTransId="{63DC83C7-7E33-4BB2-B011-0072BEC8DDC9}"/>
    <dgm:cxn modelId="{163F730A-4C94-4F66-9173-C72026EBC983}" srcId="{BE3B6B97-B57C-481F-9B20-057BBEF0302D}" destId="{9EA212E2-6339-4EA2-815D-C5DA219B878C}" srcOrd="2" destOrd="0" parTransId="{93F8D4F0-77A9-4A3E-8D5A-D4A589BC3298}" sibTransId="{13DF32CD-8E50-4A1E-AAE7-915A5BE8DC8A}"/>
    <dgm:cxn modelId="{172B340B-53BE-4A65-BBC7-6767E95E501F}" srcId="{ED44482E-F76F-49C8-A5D3-B3BE87B8DA96}" destId="{3C71D43B-8424-4435-B6D3-1CAC6F02560A}" srcOrd="0" destOrd="0" parTransId="{8B919FA7-2DDC-49A6-AACC-5AABC5BD57A8}" sibTransId="{59BCA33E-3F82-4D3D-A251-D6892887A9CA}"/>
    <dgm:cxn modelId="{24AAA60C-C3D2-46ED-8011-574DDACFDBDB}" srcId="{D7696A1A-4D6F-4FF8-BE60-16AF35954B73}" destId="{D3E7ADEE-6B49-40CD-9CD7-404C7E63773B}" srcOrd="2" destOrd="0" parTransId="{D855C096-070D-4969-BE53-B524E43DC3FA}" sibTransId="{44A54C45-493E-4678-8557-0CE9D4A8D15E}"/>
    <dgm:cxn modelId="{CAF5980D-F1B0-4E2E-9598-0E0D9EF43EA9}" type="presOf" srcId="{8A8C542E-8C6F-49E6-B4EE-1FC83038C718}" destId="{88805D6C-1F21-4A53-8232-490C4AE46E51}" srcOrd="1" destOrd="0" presId="urn:microsoft.com/office/officeart/2005/8/layout/hierarchy2"/>
    <dgm:cxn modelId="{68758710-2CFD-4DF7-A7B4-FE352759057D}" type="presOf" srcId="{83417E98-F476-40F5-9F4B-5FEA4F0A80B0}" destId="{CFC1A9B1-BB96-4A4E-BF5E-17397D293831}" srcOrd="0" destOrd="0" presId="urn:microsoft.com/office/officeart/2005/8/layout/hierarchy2"/>
    <dgm:cxn modelId="{A67D4D14-DE04-436C-A742-67F74F1D4717}" type="presOf" srcId="{3D845190-CFA5-4D1E-909A-7494C8479E8D}" destId="{D41F4524-33ED-4F0A-9303-92A1B51534CF}" srcOrd="0" destOrd="0" presId="urn:microsoft.com/office/officeart/2005/8/layout/hierarchy2"/>
    <dgm:cxn modelId="{4C43A314-6268-49D2-8E9A-2C7E7913918D}" type="presOf" srcId="{670E79AA-D64C-4236-B240-551A32235EAB}" destId="{CAF4066F-373F-4E35-BC0E-01F9BFB88D59}" srcOrd="0" destOrd="0" presId="urn:microsoft.com/office/officeart/2005/8/layout/hierarchy2"/>
    <dgm:cxn modelId="{F6A8CA1A-399C-40B7-8699-16D25A5ACC6F}" srcId="{D3E7ADEE-6B49-40CD-9CD7-404C7E63773B}" destId="{F3CF47C3-2823-4766-BEB5-BEEFE850A97E}" srcOrd="0" destOrd="0" parTransId="{D035E1AB-C8C5-4747-A411-5761CFE0EB75}" sibTransId="{EB65DD78-E0BF-493E-9777-2D14F8C3B94D}"/>
    <dgm:cxn modelId="{D3B5E31A-AD17-4412-BC89-6B34B60CD34A}" type="presOf" srcId="{4472B684-3403-4242-8F8A-19D17B7E3BA4}" destId="{6E66AB1C-2C49-456C-ADF9-CE230A0402D0}" srcOrd="1" destOrd="0" presId="urn:microsoft.com/office/officeart/2005/8/layout/hierarchy2"/>
    <dgm:cxn modelId="{C0D6F61A-598F-4BF7-9C37-A29B56A9E06A}" type="presOf" srcId="{523008B3-375E-4F76-8BBA-F0C5DD8AAD7C}" destId="{C0A27F31-DAB5-4A4D-A24E-C68160DEEF2E}" srcOrd="1" destOrd="0" presId="urn:microsoft.com/office/officeart/2005/8/layout/hierarchy2"/>
    <dgm:cxn modelId="{504F021D-0157-43C2-B43A-0E9C9CE640F0}" srcId="{FD9B5D5D-839E-4F30-86B0-9114B14E2762}" destId="{2851900C-3997-49EB-95B8-E454017448F2}" srcOrd="2" destOrd="0" parTransId="{EBC51BF5-E543-4D47-8CB2-7C2F52A789BC}" sibTransId="{AA42159D-42EE-4687-AF6D-4B56C5C98F95}"/>
    <dgm:cxn modelId="{D4465E1D-478E-4F20-901D-4B00EF516A09}" type="presOf" srcId="{196C8E07-E715-4737-B28C-11F676D62027}" destId="{543A386C-6C7B-403F-9E36-016835E46758}" srcOrd="0" destOrd="0" presId="urn:microsoft.com/office/officeart/2005/8/layout/hierarchy2"/>
    <dgm:cxn modelId="{93D6D61D-EA96-4E83-92E6-F77F002A4661}" srcId="{FD9B5D5D-839E-4F30-86B0-9114B14E2762}" destId="{3D845190-CFA5-4D1E-909A-7494C8479E8D}" srcOrd="0" destOrd="0" parTransId="{3035FD77-4B1A-4E8B-8236-2F85296C8E90}" sibTransId="{472DC6B0-31C6-48CC-B081-E1980079B826}"/>
    <dgm:cxn modelId="{F241EC1D-41DE-4BB2-A03B-DB3A5D36B61B}" srcId="{B42E0C94-89B9-4200-BD7E-6C6EC8CBDB81}" destId="{A881F125-10A4-4D7D-9ECA-E45E5A54C620}" srcOrd="0" destOrd="0" parTransId="{A738FA26-A880-4D1F-A246-B67FD8CF23B8}" sibTransId="{D0177AB6-8737-4A3F-8AB0-C5CCBC2604EB}"/>
    <dgm:cxn modelId="{0605851F-A23F-4A61-BDDC-1BC0F60116F6}" type="presOf" srcId="{4F3651C3-11F1-4999-9C97-C9E9D89F731E}" destId="{F4490D86-4BCF-47A5-8195-82E786A757F0}" srcOrd="0" destOrd="0" presId="urn:microsoft.com/office/officeart/2005/8/layout/hierarchy2"/>
    <dgm:cxn modelId="{70B5B21F-1C47-4B8C-B53C-39020A12A068}" srcId="{C7287A47-B267-4434-804F-F89A20B6C0ED}" destId="{B5429C33-7AA3-47F1-B923-FAF0F36A60FF}" srcOrd="1" destOrd="0" parTransId="{F380FF1E-9A6F-4DDB-8709-897C754CEA8B}" sibTransId="{2C1EE17B-796E-4A8B-BD74-1CA5AF6AF1DC}"/>
    <dgm:cxn modelId="{21082320-AA9C-462C-9D1E-63971BE9D482}" srcId="{ED44482E-F76F-49C8-A5D3-B3BE87B8DA96}" destId="{7D8374CC-B2E7-450E-82B6-6AEE3F21BCB7}" srcOrd="1" destOrd="0" parTransId="{4472B684-3403-4242-8F8A-19D17B7E3BA4}" sibTransId="{C2BD165A-4529-4029-92BD-C368355267EF}"/>
    <dgm:cxn modelId="{ABF69920-1172-4C58-85E0-2E55E3FD6042}" type="presOf" srcId="{06E5BE98-7C60-4105-AEEF-933B442BA28E}" destId="{82872A9C-199B-4C17-AF92-529790BF2556}" srcOrd="1" destOrd="0" presId="urn:microsoft.com/office/officeart/2005/8/layout/hierarchy2"/>
    <dgm:cxn modelId="{401F3721-A6F7-4B83-9AD9-248EEDBFB4D7}" type="presOf" srcId="{D3E7ADEE-6B49-40CD-9CD7-404C7E63773B}" destId="{94209278-B199-41CF-9037-B2F6B25AE76B}" srcOrd="0" destOrd="0" presId="urn:microsoft.com/office/officeart/2005/8/layout/hierarchy2"/>
    <dgm:cxn modelId="{B578D021-9994-47B3-861C-8D5DFC5DA94C}" type="presOf" srcId="{3C71D43B-8424-4435-B6D3-1CAC6F02560A}" destId="{8B3BA243-0A3B-4300-BAAA-B807771E0224}" srcOrd="0" destOrd="0" presId="urn:microsoft.com/office/officeart/2005/8/layout/hierarchy2"/>
    <dgm:cxn modelId="{C6291922-EC74-40E1-BF23-4B267995BC3D}" type="presOf" srcId="{BC62E15A-F4EB-4352-B053-AAE3728D5460}" destId="{FACEEFBA-22B6-431D-AF11-84C9128A9EBE}" srcOrd="0" destOrd="0" presId="urn:microsoft.com/office/officeart/2005/8/layout/hierarchy2"/>
    <dgm:cxn modelId="{EF02FD24-BB4C-49A9-8D88-D827BB5E1F74}" srcId="{139754AB-4AC5-46A5-82DD-A3E2EA5AB27E}" destId="{2AD29D81-5D74-4537-84A9-3EFC22482CE1}" srcOrd="0" destOrd="0" parTransId="{EB6CAD8B-7A1D-48FF-A72B-885BE0867E4E}" sibTransId="{DE2AFC45-13E1-48DB-8C96-E92FDD70EB61}"/>
    <dgm:cxn modelId="{03FF962A-8B3D-432E-814D-97F3FE2DD0AC}" srcId="{ED44482E-F76F-49C8-A5D3-B3BE87B8DA96}" destId="{EF14C6D9-354A-40A8-AED3-66A309EA9A1C}" srcOrd="2" destOrd="0" parTransId="{7684DF46-84D8-4C50-8A9F-31EA8213FB8F}" sibTransId="{883697A3-5A1B-4BAA-968F-DC5A4B01102E}"/>
    <dgm:cxn modelId="{B8FAB22B-C892-4282-BAFE-73D31A569A22}" type="presOf" srcId="{3C605B6A-2C20-41F4-A7AB-77B828D98A83}" destId="{372B3983-125C-42F7-8252-C0A4985D82B1}" srcOrd="0" destOrd="0" presId="urn:microsoft.com/office/officeart/2005/8/layout/hierarchy2"/>
    <dgm:cxn modelId="{598C552C-40E0-4195-89C6-9E61B6834F2D}" type="presOf" srcId="{2B930E41-CF0D-4952-8173-9F948B6566BA}" destId="{9AAA81AA-DF85-477F-9C07-5A702C952A8A}" srcOrd="1" destOrd="0" presId="urn:microsoft.com/office/officeart/2005/8/layout/hierarchy2"/>
    <dgm:cxn modelId="{034D312D-20EE-46C7-836F-C6EA7D925CFB}" srcId="{1E1A7748-F669-4BD0-9DCC-B60264D52951}" destId="{3B3B1340-FA92-46A6-9AB1-52D50A09A7CF}" srcOrd="1" destOrd="0" parTransId="{99F05618-7FC1-4765-B3F3-5DC4279CB717}" sibTransId="{68A61EC9-46D7-4E8F-8C71-3BC7EA7CE6FD}"/>
    <dgm:cxn modelId="{33910B2E-78DE-4871-8322-0A1533C6F6D3}" type="presOf" srcId="{076A39E7-AFB9-4773-A4EF-CEC14A0AAE35}" destId="{593EB226-3BDF-4481-A2AE-6A5756E122EB}" srcOrd="1" destOrd="0" presId="urn:microsoft.com/office/officeart/2005/8/layout/hierarchy2"/>
    <dgm:cxn modelId="{94F81C2E-39F9-43F8-B6CF-65262560E20C}" type="presOf" srcId="{7F117EB2-8294-4C07-B90A-53C89D0FC749}" destId="{6AAF7069-20AD-48C4-AB99-29057A9498CA}" srcOrd="0" destOrd="0" presId="urn:microsoft.com/office/officeart/2005/8/layout/hierarchy2"/>
    <dgm:cxn modelId="{FE529F2E-2E28-45DE-810D-994629730ACF}" type="presOf" srcId="{EBC51BF5-E543-4D47-8CB2-7C2F52A789BC}" destId="{C52FC2F3-9101-46C9-81CA-893FFF25529E}" srcOrd="0" destOrd="0" presId="urn:microsoft.com/office/officeart/2005/8/layout/hierarchy2"/>
    <dgm:cxn modelId="{7501D52F-3BC4-4B2F-9E0B-44AEB1B01A61}" type="presOf" srcId="{51A25E72-2ABD-4D0A-8ECD-DA12FFBEA455}" destId="{E36AD7FC-6AC3-4253-ADC4-3D14A733EC4D}" srcOrd="0" destOrd="0" presId="urn:microsoft.com/office/officeart/2005/8/layout/hierarchy2"/>
    <dgm:cxn modelId="{9FD1A532-97E6-4BF7-B6D3-916C7D0F52D4}" srcId="{1A5171FD-3A5E-402C-BA1B-E69D2860D091}" destId="{1D299E28-6E3D-4C76-A20F-E1BA589995E3}" srcOrd="2" destOrd="0" parTransId="{B80FBB11-8805-4A9C-A912-FA4940800097}" sibTransId="{6B4EE044-25B5-4D9F-A8DD-406F659E5B59}"/>
    <dgm:cxn modelId="{8C053C33-4AE3-4ECF-BC02-D944C3B16482}" srcId="{D7696A1A-4D6F-4FF8-BE60-16AF35954B73}" destId="{BE3B6B97-B57C-481F-9B20-057BBEF0302D}" srcOrd="0" destOrd="0" parTransId="{88849D94-15D2-48C0-8B29-E52B146B960A}" sibTransId="{BA38B7F4-FE86-4F3A-BC08-93D3C040C1F9}"/>
    <dgm:cxn modelId="{BA851E38-843E-473D-8D36-E0EAC4420783}" type="presOf" srcId="{7684DF46-84D8-4C50-8A9F-31EA8213FB8F}" destId="{E70D854E-8080-45EA-BCFF-31144620A878}" srcOrd="0" destOrd="0" presId="urn:microsoft.com/office/officeart/2005/8/layout/hierarchy2"/>
    <dgm:cxn modelId="{9BA9A038-0288-4559-B18D-EA99F929780D}" type="presOf" srcId="{D1930453-F5C7-42C3-9E79-314D2F13E0D5}" destId="{6680B383-E4A9-4283-B090-662C5C653B23}" srcOrd="0" destOrd="0" presId="urn:microsoft.com/office/officeart/2005/8/layout/hierarchy2"/>
    <dgm:cxn modelId="{08F4813B-2DBF-460A-A844-B3C4C5EF8924}" type="presOf" srcId="{03106A06-6838-48AF-8D17-578285C24754}" destId="{03C39051-A168-47AF-B876-DA0DAF578EE8}" srcOrd="0" destOrd="0" presId="urn:microsoft.com/office/officeart/2005/8/layout/hierarchy2"/>
    <dgm:cxn modelId="{6FA2743C-DCAC-4ECC-BD9C-8EC32B1AA342}" type="presOf" srcId="{72B16407-D95D-4F2F-AB68-FE3B6622942B}" destId="{D1A00F3A-8B53-4D9C-B868-BA54EE06CC6E}" srcOrd="1" destOrd="0" presId="urn:microsoft.com/office/officeart/2005/8/layout/hierarchy2"/>
    <dgm:cxn modelId="{9E5B4F3D-36A6-4B47-9A03-DEBBBAC2CD3B}" type="presOf" srcId="{076A39E7-AFB9-4773-A4EF-CEC14A0AAE35}" destId="{9BA799D1-1109-4122-91C3-9C4695841696}" srcOrd="0" destOrd="0" presId="urn:microsoft.com/office/officeart/2005/8/layout/hierarchy2"/>
    <dgm:cxn modelId="{E592683E-8310-4620-8C71-96A1221194C2}" srcId="{2AD29D81-5D74-4537-84A9-3EFC22482CE1}" destId="{1E1A7748-F669-4BD0-9DCC-B60264D52951}" srcOrd="1" destOrd="0" parTransId="{8A8C542E-8C6F-49E6-B4EE-1FC83038C718}" sibTransId="{B08BD916-EBBB-43F5-A2D5-6380A9E4B236}"/>
    <dgm:cxn modelId="{2AF24546-768E-4706-9624-4C759D66371D}" type="presOf" srcId="{B80FBB11-8805-4A9C-A912-FA4940800097}" destId="{5F786418-D004-40EC-933F-1557C15E86C2}" srcOrd="0" destOrd="0" presId="urn:microsoft.com/office/officeart/2005/8/layout/hierarchy2"/>
    <dgm:cxn modelId="{26DA124B-D05C-4523-B610-F40308F43D2F}" type="presOf" srcId="{06E5BE98-7C60-4105-AEEF-933B442BA28E}" destId="{45BD0619-0D54-4046-82CB-DE03B14D99E3}" srcOrd="0" destOrd="0" presId="urn:microsoft.com/office/officeart/2005/8/layout/hierarchy2"/>
    <dgm:cxn modelId="{0138874B-B3A6-4287-8710-897AE01A1122}" type="presOf" srcId="{C46BB5C1-4D23-40BC-A2DD-20BE88D59E54}" destId="{744D6922-5585-4672-BAFB-6F9DAFE3EB6F}" srcOrd="0" destOrd="0" presId="urn:microsoft.com/office/officeart/2005/8/layout/hierarchy2"/>
    <dgm:cxn modelId="{E0FBCC4C-E596-49D8-AC7F-1C3A57B4F5AD}" type="presOf" srcId="{D5FB4507-376F-41A1-BB66-3312893B648D}" destId="{DACAFF4A-8E6F-47F2-A5DC-1E957A4F3441}" srcOrd="0" destOrd="0" presId="urn:microsoft.com/office/officeart/2005/8/layout/hierarchy2"/>
    <dgm:cxn modelId="{40A0114D-82E1-46AF-9C21-257AE157C6F8}" type="presOf" srcId="{D5FB4507-376F-41A1-BB66-3312893B648D}" destId="{2DB759D0-1290-4950-A2E8-086111A4E19D}" srcOrd="1" destOrd="0" presId="urn:microsoft.com/office/officeart/2005/8/layout/hierarchy2"/>
    <dgm:cxn modelId="{A9DD404F-4EE0-483D-BB87-5B2758038B7F}" type="presOf" srcId="{7D8374CC-B2E7-450E-82B6-6AEE3F21BCB7}" destId="{124B8A3C-B1B0-4EFB-A9D2-ED8013DC7199}" srcOrd="0" destOrd="0" presId="urn:microsoft.com/office/officeart/2005/8/layout/hierarchy2"/>
    <dgm:cxn modelId="{2FB7714F-B1E6-425D-A4BA-1C057A2CE0AA}" type="presOf" srcId="{343A0F5C-1293-4530-9A67-DB1933B89D18}" destId="{0F145BA9-AA7E-455D-8C83-E0F59CF38BAB}" srcOrd="0" destOrd="0" presId="urn:microsoft.com/office/officeart/2005/8/layout/hierarchy2"/>
    <dgm:cxn modelId="{6C020A51-FF01-4D3A-929F-4E949E0A4310}" srcId="{196C8E07-E715-4737-B28C-11F676D62027}" destId="{C7287A47-B267-4434-804F-F89A20B6C0ED}" srcOrd="2" destOrd="0" parTransId="{343A0F5C-1293-4530-9A67-DB1933B89D18}" sibTransId="{D998B743-1B58-4D96-BF4A-6B36702A25EF}"/>
    <dgm:cxn modelId="{37ECF853-AD3C-45B0-A29F-B0FEF3A309BB}" srcId="{AFFA59BD-AF0C-4CF7-ADE9-D19CA678A1F9}" destId="{D915F904-124A-4839-B2F4-C2FB5E728311}" srcOrd="1" destOrd="0" parTransId="{60765861-58B4-4477-8066-795E56DB82E3}" sibTransId="{A11A8DA9-AFF3-4FCE-B1DA-9B800D8FBE9E}"/>
    <dgm:cxn modelId="{97A15B55-79C9-4D3B-BD01-38BFB8F9C618}" type="presOf" srcId="{B5429C33-7AA3-47F1-B923-FAF0F36A60FF}" destId="{0E7BB32D-EBB9-4F40-BFB2-8E5067399547}" srcOrd="0" destOrd="0" presId="urn:microsoft.com/office/officeart/2005/8/layout/hierarchy2"/>
    <dgm:cxn modelId="{0EB1C955-51C4-43BF-A5AE-BE0B1EE05B75}" type="presOf" srcId="{D855C096-070D-4969-BE53-B524E43DC3FA}" destId="{55F36CC3-0FAE-423A-80CF-C7265ECA2DE8}" srcOrd="0" destOrd="0" presId="urn:microsoft.com/office/officeart/2005/8/layout/hierarchy2"/>
    <dgm:cxn modelId="{8BA4EB55-8D6E-47DF-BB72-1271564C9ACA}" type="presOf" srcId="{6F7E3DE7-8B44-472A-B5F7-7882D8D63FD2}" destId="{427FF2AB-787A-4231-92EA-8E008CD340BA}" srcOrd="0" destOrd="0" presId="urn:microsoft.com/office/officeart/2005/8/layout/hierarchy2"/>
    <dgm:cxn modelId="{21D13859-5B30-4D07-96DB-5A362590A7D3}" type="presOf" srcId="{88849D94-15D2-48C0-8B29-E52B146B960A}" destId="{2E6E86BE-7F98-44AB-A234-2E1719AF1204}" srcOrd="1" destOrd="0" presId="urn:microsoft.com/office/officeart/2005/8/layout/hierarchy2"/>
    <dgm:cxn modelId="{A8EA2D5C-29EB-4164-B925-C25A67BAB150}" type="presOf" srcId="{F28671D9-9F70-4533-AC41-3C7BBC4B6695}" destId="{F226DFC6-CD6C-4E7B-B38C-81D855A51B13}" srcOrd="0" destOrd="0" presId="urn:microsoft.com/office/officeart/2005/8/layout/hierarchy2"/>
    <dgm:cxn modelId="{41F84960-D788-4221-9A0F-3FD915B1A93E}" type="presOf" srcId="{60765861-58B4-4477-8066-795E56DB82E3}" destId="{2DE8C733-1982-4BC3-A837-59E7A307940E}" srcOrd="1" destOrd="0" presId="urn:microsoft.com/office/officeart/2005/8/layout/hierarchy2"/>
    <dgm:cxn modelId="{C5CFA460-CCED-48FF-966E-693FE7BF0FDF}" srcId="{196C8E07-E715-4737-B28C-11F676D62027}" destId="{4F3651C3-11F1-4999-9C97-C9E9D89F731E}" srcOrd="1" destOrd="0" parTransId="{D5FB4507-376F-41A1-BB66-3312893B648D}" sibTransId="{BBCFD821-2EEF-482C-A763-777FCC03FA4A}"/>
    <dgm:cxn modelId="{EEE59962-1510-460B-B7DC-6C4C72E57FB9}" type="presOf" srcId="{2018CD79-6097-4D9B-809D-D50F800D8303}" destId="{0451A1C5-1F0A-43CB-8990-641CA74A49A6}" srcOrd="1" destOrd="0" presId="urn:microsoft.com/office/officeart/2005/8/layout/hierarchy2"/>
    <dgm:cxn modelId="{37378E64-160A-43F4-BD31-26E9DB9A15AD}" srcId="{2AD29D81-5D74-4537-84A9-3EFC22482CE1}" destId="{196C8E07-E715-4737-B28C-11F676D62027}" srcOrd="0" destOrd="0" parTransId="{4AF7A8F7-7B45-417F-AC91-AF7BBA136027}" sibTransId="{62489ABD-CD88-4CA4-8FBF-E5D19655A799}"/>
    <dgm:cxn modelId="{26241E65-4C60-4828-BA65-009C0CBF9305}" srcId="{4F3651C3-11F1-4999-9C97-C9E9D89F731E}" destId="{1DB5717F-A067-4B24-B095-AD69793DE2A0}" srcOrd="1" destOrd="0" parTransId="{75310083-4F19-470B-8F9C-6F46CBF57AEA}" sibTransId="{D1F02D62-6E6E-402E-86BF-665AE1670C2E}"/>
    <dgm:cxn modelId="{BD775166-8A1F-4BE8-ACC9-168226C95F90}" type="presOf" srcId="{FD9B5D5D-839E-4F30-86B0-9114B14E2762}" destId="{2C0E393F-0E23-48A6-BC9F-7454C1263641}" srcOrd="0" destOrd="0" presId="urn:microsoft.com/office/officeart/2005/8/layout/hierarchy2"/>
    <dgm:cxn modelId="{5BF94868-1D84-4EF9-A5CA-A281DCD3164F}" type="presOf" srcId="{53A52689-7D8D-43BE-8460-52A96790E5EB}" destId="{66B6C410-A83D-493B-AD39-6E1E47C411B5}" srcOrd="0" destOrd="0" presId="urn:microsoft.com/office/officeart/2005/8/layout/hierarchy2"/>
    <dgm:cxn modelId="{E8545268-C0F6-4A5B-8860-E3ABCFA4C7BA}" type="presOf" srcId="{4472B684-3403-4242-8F8A-19D17B7E3BA4}" destId="{5FC6D9E7-69F8-4B0A-A352-ECD27A83825A}" srcOrd="0" destOrd="0" presId="urn:microsoft.com/office/officeart/2005/8/layout/hierarchy2"/>
    <dgm:cxn modelId="{4CC64369-AA38-4B9A-BDC7-BF19B823D4E3}" srcId="{1A5171FD-3A5E-402C-BA1B-E69D2860D091}" destId="{E371DCD9-A949-4EAD-A3A1-DF27C2718F6E}" srcOrd="1" destOrd="0" parTransId="{6F7DCE2D-A302-44FB-BC3A-673ED3A16D08}" sibTransId="{01E9D717-7B3F-433C-8A89-7FA1C83B1472}"/>
    <dgm:cxn modelId="{36C2696D-9BFB-40FF-BAB7-04554C89D6EF}" type="presOf" srcId="{8B919FA7-2DDC-49A6-AACC-5AABC5BD57A8}" destId="{FCC431D7-A4EC-42FB-9B23-EA43ED7A70BD}" srcOrd="1" destOrd="0" presId="urn:microsoft.com/office/officeart/2005/8/layout/hierarchy2"/>
    <dgm:cxn modelId="{2FD2F86D-7EE3-46F8-99B3-60AEBF189CB9}" type="presOf" srcId="{7A1DAAD1-8B77-414E-81EA-D42CF82316B0}" destId="{9DC7CF2B-1804-4041-BD69-E2304806DB27}" srcOrd="0" destOrd="0" presId="urn:microsoft.com/office/officeart/2005/8/layout/hierarchy2"/>
    <dgm:cxn modelId="{7FE9786E-2F80-41A7-A079-6508130A6E62}" type="presOf" srcId="{A3FC1A59-5FFA-4FFC-9706-C085BCB0993F}" destId="{8415BB3D-3BF9-47A1-A8DE-069EDED63631}" srcOrd="0" destOrd="0" presId="urn:microsoft.com/office/officeart/2005/8/layout/hierarchy2"/>
    <dgm:cxn modelId="{081C996E-6C68-4A57-BFC8-5D8DBFE05547}" srcId="{C7287A47-B267-4434-804F-F89A20B6C0ED}" destId="{00E8A4D1-06E3-44BE-A4A6-D6893F3B4454}" srcOrd="2" destOrd="0" parTransId="{FCE94570-B2A5-49F6-A781-22E257AC97E3}" sibTransId="{3CD044C9-28F8-41D0-8150-61E5F8A0A662}"/>
    <dgm:cxn modelId="{E230AC70-FCF2-4CC2-9A17-3DA82FD10ABF}" type="presOf" srcId="{ED44482E-F76F-49C8-A5D3-B3BE87B8DA96}" destId="{A8291943-30B5-42C5-BCC9-8B7F6DAA6093}" srcOrd="0" destOrd="0" presId="urn:microsoft.com/office/officeart/2005/8/layout/hierarchy2"/>
    <dgm:cxn modelId="{E728DD71-4005-4B23-99E2-FA67D101D39F}" srcId="{AFFA59BD-AF0C-4CF7-ADE9-D19CA678A1F9}" destId="{7A1DAAD1-8B77-414E-81EA-D42CF82316B0}" srcOrd="0" destOrd="0" parTransId="{C52616F3-CF73-4718-8D5B-F7D18E678C1A}" sibTransId="{56B21AC4-FF5F-45AF-BDC5-7E1697383D57}"/>
    <dgm:cxn modelId="{8B612B76-3659-486C-949B-04A9EEA5981A}" type="presOf" srcId="{CF855B15-9778-4A78-9E1F-A895BA1F7E9E}" destId="{2F4F37EC-78E4-45CD-9260-D10402B6DFC4}" srcOrd="0" destOrd="0" presId="urn:microsoft.com/office/officeart/2005/8/layout/hierarchy2"/>
    <dgm:cxn modelId="{A7234576-4288-4E94-B993-22737A492CEA}" type="presOf" srcId="{A738FA26-A880-4D1F-A246-B67FD8CF23B8}" destId="{241999AB-E15C-456E-B48D-2EBEFD01E329}" srcOrd="1" destOrd="0" presId="urn:microsoft.com/office/officeart/2005/8/layout/hierarchy2"/>
    <dgm:cxn modelId="{10143177-9CF8-4385-B0B6-934C1AC7308A}" type="presOf" srcId="{3B3B1340-FA92-46A6-9AB1-52D50A09A7CF}" destId="{FFA93BCF-919A-45E2-84FF-2A9716D017D3}" srcOrd="0" destOrd="0" presId="urn:microsoft.com/office/officeart/2005/8/layout/hierarchy2"/>
    <dgm:cxn modelId="{0D913C77-FB69-40C2-A660-B59946CA1D25}" type="presOf" srcId="{C52616F3-CF73-4718-8D5B-F7D18E678C1A}" destId="{EFF2473B-71BC-48BA-85EC-BCE456195BC6}" srcOrd="1" destOrd="0" presId="urn:microsoft.com/office/officeart/2005/8/layout/hierarchy2"/>
    <dgm:cxn modelId="{A7D23F77-C7DB-4E47-8A6B-EB5EBD403A9F}" srcId="{B42E0C94-89B9-4200-BD7E-6C6EC8CBDB81}" destId="{3C605B6A-2C20-41F4-A7AB-77B828D98A83}" srcOrd="2" destOrd="0" parTransId="{076A39E7-AFB9-4773-A4EF-CEC14A0AAE35}" sibTransId="{1AA0C578-0FD2-4F69-BD98-64079A1C18F8}"/>
    <dgm:cxn modelId="{F0BA6E79-D1D9-477D-B4C9-F3718FD0BB50}" type="presOf" srcId="{D035E1AB-C8C5-4747-A411-5761CFE0EB75}" destId="{9C177D46-99B2-461A-A8CB-C27D88CBA076}" srcOrd="0" destOrd="0" presId="urn:microsoft.com/office/officeart/2005/8/layout/hierarchy2"/>
    <dgm:cxn modelId="{B7E2EA7C-F9EE-457A-9241-AC52EFD442B5}" srcId="{D7696A1A-4D6F-4FF8-BE60-16AF35954B73}" destId="{FD9B5D5D-839E-4F30-86B0-9114B14E2762}" srcOrd="1" destOrd="0" parTransId="{1FFD5BF2-2C7D-4F2D-9CA7-5994498F4EBE}" sibTransId="{AFA69E0A-0B54-4750-A461-74B7CC167D7A}"/>
    <dgm:cxn modelId="{E2E7397E-F093-4867-8DB4-E49AFCD51207}" type="presOf" srcId="{DCF95453-63B0-47AD-871B-2720D73E1ABA}" destId="{4F102353-4E3C-470B-A831-C9332F4D84F9}" srcOrd="0" destOrd="0" presId="urn:microsoft.com/office/officeart/2005/8/layout/hierarchy2"/>
    <dgm:cxn modelId="{B6CC3680-F711-4C39-ABF1-4E4010B612DC}" type="presOf" srcId="{75310083-4F19-470B-8F9C-6F46CBF57AEA}" destId="{84EEA528-C4E3-4C8B-AE73-C7EC56DF7E41}" srcOrd="1" destOrd="0" presId="urn:microsoft.com/office/officeart/2005/8/layout/hierarchy2"/>
    <dgm:cxn modelId="{4493F182-FBE9-4ECF-B223-7589D4FEC10E}" type="presOf" srcId="{B42E0C94-89B9-4200-BD7E-6C6EC8CBDB81}" destId="{8A025657-39FB-4171-A16C-01A82D850634}" srcOrd="0" destOrd="0" presId="urn:microsoft.com/office/officeart/2005/8/layout/hierarchy2"/>
    <dgm:cxn modelId="{D9F3F383-3401-4EE8-8F4B-157B1DECDA8B}" srcId="{FD9B5D5D-839E-4F30-86B0-9114B14E2762}" destId="{BC62E15A-F4EB-4352-B053-AAE3728D5460}" srcOrd="1" destOrd="0" parTransId="{C46BB5C1-4D23-40BC-A2DD-20BE88D59E54}" sibTransId="{D0F6AE7E-069C-4CD3-A74E-D5D077C4E619}"/>
    <dgm:cxn modelId="{CFDFD485-FAC3-4CFA-8B3E-7F2DBED0F0C5}" type="presOf" srcId="{AFFA59BD-AF0C-4CF7-ADE9-D19CA678A1F9}" destId="{D7EA5790-B178-47FE-9C01-A66C6D42B9F8}" srcOrd="0" destOrd="0" presId="urn:microsoft.com/office/officeart/2005/8/layout/hierarchy2"/>
    <dgm:cxn modelId="{BDB7F185-F738-4B48-AD72-CBB3942F167F}" srcId="{1A5171FD-3A5E-402C-BA1B-E69D2860D091}" destId="{2AC6D161-DCCA-42B5-A109-24D3DDB402D1}" srcOrd="0" destOrd="0" parTransId="{03106A06-6838-48AF-8D17-578285C24754}" sibTransId="{7F8DBFE1-8318-4309-81DF-551CFFE71DD4}"/>
    <dgm:cxn modelId="{EEEC6289-4F77-4169-B60E-8735D9055A73}" type="presOf" srcId="{523008B3-375E-4F76-8BBA-F0C5DD8AAD7C}" destId="{05B06E0F-C39B-4FF4-8481-1BDE7A32EC94}" srcOrd="0" destOrd="0" presId="urn:microsoft.com/office/officeart/2005/8/layout/hierarchy2"/>
    <dgm:cxn modelId="{36890D8A-2355-4D99-B09D-8B3625844CE2}" srcId="{3B3B1340-FA92-46A6-9AB1-52D50A09A7CF}" destId="{ED44482E-F76F-49C8-A5D3-B3BE87B8DA96}" srcOrd="1" destOrd="0" parTransId="{D91732D2-8DC1-4440-82B7-FE4475CEA2AD}" sibTransId="{40333551-6B63-4370-A2CA-7A89EDCEFCBC}"/>
    <dgm:cxn modelId="{B3FB4D91-E32C-49D2-BBB1-76AB5E24EAC8}" type="presOf" srcId="{75310083-4F19-470B-8F9C-6F46CBF57AEA}" destId="{6959B8C7-7AC1-4B70-8A89-D8ACA139A7AE}" srcOrd="0" destOrd="0" presId="urn:microsoft.com/office/officeart/2005/8/layout/hierarchy2"/>
    <dgm:cxn modelId="{55D85B91-3DB6-4B55-A111-8D3553FFB5C1}" type="presOf" srcId="{D7696A1A-4D6F-4FF8-BE60-16AF35954B73}" destId="{37DCABDA-982E-4FF3-A799-576C12D46A04}" srcOrd="0" destOrd="0" presId="urn:microsoft.com/office/officeart/2005/8/layout/hierarchy2"/>
    <dgm:cxn modelId="{6B5F4E92-127F-46FC-BAC9-A59D8A4223F2}" type="presOf" srcId="{6A955C3C-D9E1-4270-A291-190A21CDA6C3}" destId="{D69DA898-7D1A-4FEB-99CB-C669E8105167}" srcOrd="0" destOrd="0" presId="urn:microsoft.com/office/officeart/2005/8/layout/hierarchy2"/>
    <dgm:cxn modelId="{436F4896-BAB9-4444-B530-624524E5B7BC}" type="presOf" srcId="{C46BB5C1-4D23-40BC-A2DD-20BE88D59E54}" destId="{99A75DDF-6D8B-4F69-94D2-4BA9BD4F0A21}" srcOrd="1" destOrd="0" presId="urn:microsoft.com/office/officeart/2005/8/layout/hierarchy2"/>
    <dgm:cxn modelId="{DE498498-6609-42DE-B05D-505D52B2883C}" type="presOf" srcId="{53A52689-7D8D-43BE-8460-52A96790E5EB}" destId="{CC16E1FB-25F6-4E5D-A230-543598D1DAD1}" srcOrd="1" destOrd="0" presId="urn:microsoft.com/office/officeart/2005/8/layout/hierarchy2"/>
    <dgm:cxn modelId="{7706429E-CCDA-4925-80DC-9281140B9BCB}" type="presOf" srcId="{A3FC1A59-5FFA-4FFC-9706-C085BCB0993F}" destId="{96111E49-D3E7-4ED7-8FA1-844F10F580CB}" srcOrd="1" destOrd="0" presId="urn:microsoft.com/office/officeart/2005/8/layout/hierarchy2"/>
    <dgm:cxn modelId="{416F499E-6CE8-412C-AB83-AA39D9D0F8A3}" type="presOf" srcId="{23DCCBCE-F028-42E8-8B5F-1643C8335B30}" destId="{41A10ED3-9830-4024-9A0A-EE12435AE656}" srcOrd="0" destOrd="0" presId="urn:microsoft.com/office/officeart/2005/8/layout/hierarchy2"/>
    <dgm:cxn modelId="{0ED792A0-D2F7-4ACE-9269-DA3C5E898CB6}" srcId="{1E1A7748-F669-4BD0-9DCC-B60264D52951}" destId="{D7696A1A-4D6F-4FF8-BE60-16AF35954B73}" srcOrd="0" destOrd="0" parTransId="{A3FC1A59-5FFA-4FFC-9706-C085BCB0993F}" sibTransId="{15F6BC0A-6617-44CF-B98F-64E3E0950714}"/>
    <dgm:cxn modelId="{11DB49A3-842A-4401-A7FF-A05FBCEE1219}" type="presOf" srcId="{60765861-58B4-4477-8066-795E56DB82E3}" destId="{9D1EE0C2-8EE5-4F39-93CC-864F4CC3BCC6}" srcOrd="0" destOrd="0" presId="urn:microsoft.com/office/officeart/2005/8/layout/hierarchy2"/>
    <dgm:cxn modelId="{C25130A5-3408-4D9D-B63A-CA961AAD3777}" type="presOf" srcId="{7F117EB2-8294-4C07-B90A-53C89D0FC749}" destId="{443D4BCE-908C-4547-B51F-5083FA7BFEAF}" srcOrd="1" destOrd="0" presId="urn:microsoft.com/office/officeart/2005/8/layout/hierarchy2"/>
    <dgm:cxn modelId="{3E1E47AA-2BF2-4BE9-A073-6EDE2EE49649}" srcId="{B42E0C94-89B9-4200-BD7E-6C6EC8CBDB81}" destId="{1181B2BD-2F74-4A6F-B08D-D94DA96A549E}" srcOrd="1" destOrd="0" parTransId="{CF855B15-9778-4A78-9E1F-A895BA1F7E9E}" sibTransId="{CB01C3A9-CA5C-4D03-8799-DA16D81C702C}"/>
    <dgm:cxn modelId="{951B5CAC-D95C-4D8C-AECC-05A02F94E0D8}" type="presOf" srcId="{D035E1AB-C8C5-4747-A411-5761CFE0EB75}" destId="{81BBD952-4DD8-4294-AFAB-CD7398FED066}" srcOrd="1" destOrd="0" presId="urn:microsoft.com/office/officeart/2005/8/layout/hierarchy2"/>
    <dgm:cxn modelId="{C9046FAC-41DC-406F-8CA9-88A34C536BFB}" type="presOf" srcId="{2851900C-3997-49EB-95B8-E454017448F2}" destId="{C9CD7232-363F-400C-AF8F-7A1FE3A5207B}" srcOrd="0" destOrd="0" presId="urn:microsoft.com/office/officeart/2005/8/layout/hierarchy2"/>
    <dgm:cxn modelId="{FAC3D9B5-F706-494E-A624-181B4DBED477}" srcId="{D3E7ADEE-6B49-40CD-9CD7-404C7E63773B}" destId="{CE73F15F-8269-4875-806A-F260B144D0C8}" srcOrd="2" destOrd="0" parTransId="{7F117EB2-8294-4C07-B90A-53C89D0FC749}" sibTransId="{2E71B9B0-07A8-4A71-8708-8F6353811895}"/>
    <dgm:cxn modelId="{66EA62B6-17E5-4BA9-AEDB-EF194C1DEC04}" type="presOf" srcId="{3035FD77-4B1A-4E8B-8236-2F85296C8E90}" destId="{87C17E78-8066-44D3-9D2B-93A16FB1ADB9}" srcOrd="1" destOrd="0" presId="urn:microsoft.com/office/officeart/2005/8/layout/hierarchy2"/>
    <dgm:cxn modelId="{BEDA4DBD-E9C3-4A93-B767-66E7C143F940}" type="presOf" srcId="{3035FD77-4B1A-4E8B-8236-2F85296C8E90}" destId="{CDD1F135-496B-4FA6-9A02-B40A53071DAB}" srcOrd="0" destOrd="0" presId="urn:microsoft.com/office/officeart/2005/8/layout/hierarchy2"/>
    <dgm:cxn modelId="{B42674BD-A390-4B3F-9905-7220C1AF3161}" type="presOf" srcId="{8B919FA7-2DDC-49A6-AACC-5AABC5BD57A8}" destId="{5AC1D62A-FB70-4C67-A0F4-FB4F9392648B}" srcOrd="0" destOrd="0" presId="urn:microsoft.com/office/officeart/2005/8/layout/hierarchy2"/>
    <dgm:cxn modelId="{7A3E2BBF-165D-462B-9851-BB7F7D4E3AA1}" type="presOf" srcId="{1181B2BD-2F74-4A6F-B08D-D94DA96A549E}" destId="{F3B0C31A-5F32-4D8F-B82B-D68B163118D8}" srcOrd="0" destOrd="0" presId="urn:microsoft.com/office/officeart/2005/8/layout/hierarchy2"/>
    <dgm:cxn modelId="{14A246BF-F955-4349-9BF4-8E8F81C2CE41}" type="presOf" srcId="{2AC6D161-DCCA-42B5-A109-24D3DDB402D1}" destId="{71620E72-9755-481D-8400-5F7D92E05BD1}" srcOrd="0" destOrd="0" presId="urn:microsoft.com/office/officeart/2005/8/layout/hierarchy2"/>
    <dgm:cxn modelId="{9A2B34C0-5B39-4837-B627-CEA1CB50A7EF}" type="presOf" srcId="{2018CD79-6097-4D9B-809D-D50F800D8303}" destId="{7CDA4973-3D1F-4508-99F8-8D7E0B6479A3}" srcOrd="0" destOrd="0" presId="urn:microsoft.com/office/officeart/2005/8/layout/hierarchy2"/>
    <dgm:cxn modelId="{308782C0-3BFA-4085-9605-BA8A4615E24F}" type="presOf" srcId="{03106A06-6838-48AF-8D17-578285C24754}" destId="{28881B8C-A101-4C81-AF93-91836CFA7BE9}" srcOrd="1" destOrd="0" presId="urn:microsoft.com/office/officeart/2005/8/layout/hierarchy2"/>
    <dgm:cxn modelId="{30D3F5C0-988C-4917-AA8D-6AB244D2D3E6}" type="presOf" srcId="{93F8D4F0-77A9-4A3E-8D5A-D4A589BC3298}" destId="{A585506C-4118-4BAB-AB42-E4F536F8632C}" srcOrd="0" destOrd="0" presId="urn:microsoft.com/office/officeart/2005/8/layout/hierarchy2"/>
    <dgm:cxn modelId="{295692C2-C2F2-411A-877F-BC66D27B4E40}" type="presOf" srcId="{88849D94-15D2-48C0-8B29-E52B146B960A}" destId="{390A26D5-C913-427B-AA44-4DEAE06020C1}" srcOrd="0" destOrd="0" presId="urn:microsoft.com/office/officeart/2005/8/layout/hierarchy2"/>
    <dgm:cxn modelId="{CD2004C5-4C56-4DCB-8AC8-385C2F1B832A}" type="presOf" srcId="{D91732D2-8DC1-4440-82B7-FE4475CEA2AD}" destId="{AD1C266F-6A31-4DDF-9AFE-E5E7222D3851}" srcOrd="1" destOrd="0" presId="urn:microsoft.com/office/officeart/2005/8/layout/hierarchy2"/>
    <dgm:cxn modelId="{83D055C7-5ABC-484A-9BBC-7467F7FDB5EE}" type="presOf" srcId="{D915F904-124A-4839-B2F4-C2FB5E728311}" destId="{20D586A9-EDF2-4899-BBF0-A1F3A496D4A5}" srcOrd="0" destOrd="0" presId="urn:microsoft.com/office/officeart/2005/8/layout/hierarchy2"/>
    <dgm:cxn modelId="{8007FDC7-B67E-4F46-ABB0-EE04FB101C6E}" type="presOf" srcId="{1FFD5BF2-2C7D-4F2D-9CA7-5994498F4EBE}" destId="{EE704537-0B13-4B79-A8C4-6A3B216F94C0}" srcOrd="1" destOrd="0" presId="urn:microsoft.com/office/officeart/2005/8/layout/hierarchy2"/>
    <dgm:cxn modelId="{305B49C9-D791-4D2F-92B9-36112DFBDD92}" type="presOf" srcId="{139754AB-4AC5-46A5-82DD-A3E2EA5AB27E}" destId="{13C6E4F5-D815-411F-A06D-9BEFE9BA69C0}" srcOrd="0" destOrd="0" presId="urn:microsoft.com/office/officeart/2005/8/layout/hierarchy2"/>
    <dgm:cxn modelId="{8E9402CA-98A5-4BEF-B004-741CDAB57A8D}" srcId="{4F3651C3-11F1-4999-9C97-C9E9D89F731E}" destId="{F28671D9-9F70-4533-AC41-3C7BBC4B6695}" srcOrd="2" destOrd="0" parTransId="{53A52689-7D8D-43BE-8460-52A96790E5EB}" sibTransId="{CC7AACB8-7C72-4717-9738-535587C6F533}"/>
    <dgm:cxn modelId="{8E3126CB-0E8C-4093-8A49-A51DBE531169}" type="presOf" srcId="{C7287A47-B267-4434-804F-F89A20B6C0ED}" destId="{B181FD80-43F5-4AB1-ADC3-6811670233F3}" srcOrd="0" destOrd="0" presId="urn:microsoft.com/office/officeart/2005/8/layout/hierarchy2"/>
    <dgm:cxn modelId="{13372BCC-936F-4B8C-8A17-162223181AF9}" type="presOf" srcId="{1A5171FD-3A5E-402C-BA1B-E69D2860D091}" destId="{DB1ECD12-944C-43D7-B454-E6C14EE64881}" srcOrd="0" destOrd="0" presId="urn:microsoft.com/office/officeart/2005/8/layout/hierarchy2"/>
    <dgm:cxn modelId="{1647F6CC-DB86-4D4F-A321-ECF551F64452}" type="presOf" srcId="{4AF7A8F7-7B45-417F-AC91-AF7BBA136027}" destId="{BB2524A6-5A7F-41C7-AD01-0CC17F262024}" srcOrd="0" destOrd="0" presId="urn:microsoft.com/office/officeart/2005/8/layout/hierarchy2"/>
    <dgm:cxn modelId="{DF7D9CCF-BC38-479D-A4CF-8C1A3148F8A5}" type="presOf" srcId="{99F05618-7FC1-4765-B3F3-5DC4279CB717}" destId="{CCBE097A-A328-45DA-8008-61B8A5499C49}" srcOrd="0" destOrd="0" presId="urn:microsoft.com/office/officeart/2005/8/layout/hierarchy2"/>
    <dgm:cxn modelId="{627019D1-F8F8-4E9B-8CED-7FF2D3109652}" type="presOf" srcId="{1DB5717F-A067-4B24-B095-AD69793DE2A0}" destId="{B58A1E0A-DD19-400F-BF54-2252E25E9793}" srcOrd="0" destOrd="0" presId="urn:microsoft.com/office/officeart/2005/8/layout/hierarchy2"/>
    <dgm:cxn modelId="{04BC8FD2-9C14-4EF2-AEB3-A92E73F94FF2}" type="presOf" srcId="{735BC54A-8C71-4A11-9318-8ECA5805A9B5}" destId="{CF72B0C9-3A25-4A0A-A010-CE694AF5A5ED}" srcOrd="1" destOrd="0" presId="urn:microsoft.com/office/officeart/2005/8/layout/hierarchy2"/>
    <dgm:cxn modelId="{3C0BC4D3-784E-498F-B68B-65148FD287E5}" type="presOf" srcId="{CE73F15F-8269-4875-806A-F260B144D0C8}" destId="{53A53E49-EAF0-4FF0-B07C-F648FF7970B5}" srcOrd="0" destOrd="0" presId="urn:microsoft.com/office/officeart/2005/8/layout/hierarchy2"/>
    <dgm:cxn modelId="{6A6A34D4-3A49-48FF-B4B9-13311E70DE3F}" type="presOf" srcId="{FCE94570-B2A5-49F6-A781-22E257AC97E3}" destId="{3B5C78A4-0160-4B99-AAA4-0DA3D88D23BF}" srcOrd="0" destOrd="0" presId="urn:microsoft.com/office/officeart/2005/8/layout/hierarchy2"/>
    <dgm:cxn modelId="{5E0B3AD6-8FB5-4484-ADFB-F9161EC6CAB0}" type="presOf" srcId="{A738FA26-A880-4D1F-A246-B67FD8CF23B8}" destId="{856AD367-FAFC-44F4-BAA0-71AFC1172E52}" srcOrd="0" destOrd="0" presId="urn:microsoft.com/office/officeart/2005/8/layout/hierarchy2"/>
    <dgm:cxn modelId="{E36899D8-9B24-4D6A-A559-032739FD5D08}" type="presOf" srcId="{4AF7A8F7-7B45-417F-AC91-AF7BBA136027}" destId="{43B98741-D4DC-4FCE-94CB-3DE353FC3C3C}" srcOrd="1" destOrd="0" presId="urn:microsoft.com/office/officeart/2005/8/layout/hierarchy2"/>
    <dgm:cxn modelId="{0AF4C9D9-7B23-44AA-8E99-78D8BDCAA8AF}" type="presOf" srcId="{BE3B6B97-B57C-481F-9B20-057BBEF0302D}" destId="{B5D48A3D-F390-4BDE-9658-AE52D6F606EF}" srcOrd="0" destOrd="0" presId="urn:microsoft.com/office/officeart/2005/8/layout/hierarchy2"/>
    <dgm:cxn modelId="{5F8AFFDB-7DDB-47C0-991A-404353EAE716}" type="presOf" srcId="{6A955C3C-D9E1-4270-A291-190A21CDA6C3}" destId="{B7E1E6B7-420E-48AE-9AA8-CAC7D67C7F04}" srcOrd="1" destOrd="0" presId="urn:microsoft.com/office/officeart/2005/8/layout/hierarchy2"/>
    <dgm:cxn modelId="{E7D10BDD-BED5-49D0-91F1-2049445E2274}" type="presOf" srcId="{93F8D4F0-77A9-4A3E-8D5A-D4A589BC3298}" destId="{A66065E4-354E-4E19-979D-381A3209E87E}" srcOrd="1" destOrd="0" presId="urn:microsoft.com/office/officeart/2005/8/layout/hierarchy2"/>
    <dgm:cxn modelId="{D04E18DD-6146-4EAA-9A1F-F726235B8A3C}" type="presOf" srcId="{2B930E41-CF0D-4952-8173-9F948B6566BA}" destId="{D13A4E2C-792A-4797-A676-79017289C004}" srcOrd="0" destOrd="0" presId="urn:microsoft.com/office/officeart/2005/8/layout/hierarchy2"/>
    <dgm:cxn modelId="{938044DE-7CAD-4BCB-AE9E-1ADB5290C709}" type="presOf" srcId="{2AD29D81-5D74-4537-84A9-3EFC22482CE1}" destId="{05817D6F-AD44-4A52-A556-08718A0DB57F}" srcOrd="0" destOrd="0" presId="urn:microsoft.com/office/officeart/2005/8/layout/hierarchy2"/>
    <dgm:cxn modelId="{9C1964DE-E748-4BD5-A60D-84A0DAB642BA}" type="presOf" srcId="{EF14C6D9-354A-40A8-AED3-66A309EA9A1C}" destId="{6075489B-5940-497B-9294-633308A2A0BD}" srcOrd="0" destOrd="0" presId="urn:microsoft.com/office/officeart/2005/8/layout/hierarchy2"/>
    <dgm:cxn modelId="{4C94FDDE-078E-4BCA-ACF1-77D9C42192EF}" type="presOf" srcId="{6F7DCE2D-A302-44FB-BC3A-673ED3A16D08}" destId="{90B5ADE1-76EB-465F-A336-C38490DEDF1C}" srcOrd="0" destOrd="0" presId="urn:microsoft.com/office/officeart/2005/8/layout/hierarchy2"/>
    <dgm:cxn modelId="{8B0952E0-07E2-49BB-A31C-0888745E5745}" srcId="{C7287A47-B267-4434-804F-F89A20B6C0ED}" destId="{DCF95453-63B0-47AD-871B-2720D73E1ABA}" srcOrd="0" destOrd="0" parTransId="{6A955C3C-D9E1-4270-A291-190A21CDA6C3}" sibTransId="{1D947C41-B7A8-4DEC-A3EE-CA87F8A69EB3}"/>
    <dgm:cxn modelId="{9B33D3E1-BD54-4A57-8F55-7B360562B576}" type="presOf" srcId="{00E8A4D1-06E3-44BE-A4A6-D6893F3B4454}" destId="{919F03E3-9F40-45A3-9741-0A8DBDA2FE8A}" srcOrd="0" destOrd="0" presId="urn:microsoft.com/office/officeart/2005/8/layout/hierarchy2"/>
    <dgm:cxn modelId="{893C56E2-9AB3-488B-B335-CF0250B3311F}" type="presOf" srcId="{99F05618-7FC1-4765-B3F3-5DC4279CB717}" destId="{EFBB9E38-16DF-4345-A2ED-A29C0C5289C4}" srcOrd="1" destOrd="0" presId="urn:microsoft.com/office/officeart/2005/8/layout/hierarchy2"/>
    <dgm:cxn modelId="{512351E3-617C-4A7B-9FBA-8BDA7CAE494A}" type="presOf" srcId="{735BC54A-8C71-4A11-9318-8ECA5805A9B5}" destId="{A6252E0F-B259-401D-B679-A5F5974B8103}" srcOrd="0" destOrd="0" presId="urn:microsoft.com/office/officeart/2005/8/layout/hierarchy2"/>
    <dgm:cxn modelId="{3328A0E3-1C14-4B4C-8B4F-8414BBEEA4A9}" type="presOf" srcId="{E83105C4-C03D-4F52-A3E0-4D891D29C2CA}" destId="{E7E87AC0-CB30-469F-8A81-9AFA79AA8CF3}" srcOrd="0" destOrd="0" presId="urn:microsoft.com/office/officeart/2005/8/layout/hierarchy2"/>
    <dgm:cxn modelId="{D454C5E5-1177-4CD8-9328-B3113714FD4D}" type="presOf" srcId="{72B16407-D95D-4F2F-AB68-FE3B6622942B}" destId="{2234839A-7F72-4BDC-9662-67596C1E5DDE}" srcOrd="0" destOrd="0" presId="urn:microsoft.com/office/officeart/2005/8/layout/hierarchy2"/>
    <dgm:cxn modelId="{1BD24EE6-06FA-4559-A2BB-D7EF449D704F}" type="presOf" srcId="{E371DCD9-A949-4EAD-A3A1-DF27C2718F6E}" destId="{C0AF1216-36BC-4E13-9FC2-0A455B0D2AD5}" srcOrd="0" destOrd="0" presId="urn:microsoft.com/office/officeart/2005/8/layout/hierarchy2"/>
    <dgm:cxn modelId="{E463ADE9-20BD-438F-B579-D28D78109729}" type="presOf" srcId="{6F7DCE2D-A302-44FB-BC3A-673ED3A16D08}" destId="{BDFFB75B-9EAE-4A2A-8828-33510F0EA5E0}" srcOrd="1" destOrd="0" presId="urn:microsoft.com/office/officeart/2005/8/layout/hierarchy2"/>
    <dgm:cxn modelId="{59CBA3EB-0226-48FF-BEA5-A808360F7C14}" type="presOf" srcId="{A881F125-10A4-4D7D-9ECA-E45E5A54C620}" destId="{1ADA4035-2C60-4212-BEF6-080403AD4EF0}" srcOrd="0" destOrd="0" presId="urn:microsoft.com/office/officeart/2005/8/layout/hierarchy2"/>
    <dgm:cxn modelId="{8C030DED-FD2E-49C9-8394-7562A6A23688}" type="presOf" srcId="{F380FF1E-9A6F-4DDB-8709-897C754CEA8B}" destId="{BBA4431C-A027-4DBA-A33B-751E92FE75EB}" srcOrd="1" destOrd="0" presId="urn:microsoft.com/office/officeart/2005/8/layout/hierarchy2"/>
    <dgm:cxn modelId="{E98976ED-BD41-40B6-B732-D1273629420A}" type="presOf" srcId="{1D299E28-6E3D-4C76-A20F-E1BA589995E3}" destId="{E6BC9C15-8BE6-483E-9A89-CA11311D4A78}" srcOrd="0" destOrd="0" presId="urn:microsoft.com/office/officeart/2005/8/layout/hierarchy2"/>
    <dgm:cxn modelId="{DF988EED-06BB-431D-9704-0239762D9D07}" type="presOf" srcId="{FCE94570-B2A5-49F6-A781-22E257AC97E3}" destId="{82CCBA89-A243-42BA-8E4E-50D7759C077D}" srcOrd="1" destOrd="0" presId="urn:microsoft.com/office/officeart/2005/8/layout/hierarchy2"/>
    <dgm:cxn modelId="{99959EEE-AD99-437C-9CCC-38B49EA5BE01}" type="presOf" srcId="{D855C096-070D-4969-BE53-B524E43DC3FA}" destId="{8C1CADD3-FE95-43EA-A853-2D0C88E3A8A6}" srcOrd="1" destOrd="0" presId="urn:microsoft.com/office/officeart/2005/8/layout/hierarchy2"/>
    <dgm:cxn modelId="{EA2FA7EE-15A6-43FC-955A-F8EC954E352E}" srcId="{196C8E07-E715-4737-B28C-11F676D62027}" destId="{1A5171FD-3A5E-402C-BA1B-E69D2860D091}" srcOrd="0" destOrd="0" parTransId="{72B16407-D95D-4F2F-AB68-FE3B6622942B}" sibTransId="{1CBCA832-417C-45BE-A41B-F00B87E001FB}"/>
    <dgm:cxn modelId="{C180E2EE-E848-4CC3-9AA3-71E185B3E00A}" type="presOf" srcId="{CF855B15-9778-4A78-9E1F-A895BA1F7E9E}" destId="{F6B2C779-22D7-4760-A258-BD4551DB5112}" srcOrd="1" destOrd="0" presId="urn:microsoft.com/office/officeart/2005/8/layout/hierarchy2"/>
    <dgm:cxn modelId="{097399EF-9B16-4966-A7ED-56C627BD5460}" type="presOf" srcId="{343A0F5C-1293-4530-9A67-DB1933B89D18}" destId="{35A1A727-3C8D-4AAC-9132-07DFE67153F4}" srcOrd="1" destOrd="0" presId="urn:microsoft.com/office/officeart/2005/8/layout/hierarchy2"/>
    <dgm:cxn modelId="{EFEBA2EF-BDF4-431E-80B6-44524C4D0A73}" type="presOf" srcId="{8A8C542E-8C6F-49E6-B4EE-1FC83038C718}" destId="{0F885D3D-8383-480E-847E-CC35A462504B}" srcOrd="0" destOrd="0" presId="urn:microsoft.com/office/officeart/2005/8/layout/hierarchy2"/>
    <dgm:cxn modelId="{1B8CD5F0-DC58-4E79-9FEB-57C05FB386DE}" type="presOf" srcId="{9EA212E2-6339-4EA2-815D-C5DA219B878C}" destId="{D73035F8-5613-4954-8E81-4A1816727585}" srcOrd="0" destOrd="0" presId="urn:microsoft.com/office/officeart/2005/8/layout/hierarchy2"/>
    <dgm:cxn modelId="{EE2D32F1-1469-44F7-A546-121D504BB317}" type="presOf" srcId="{C52616F3-CF73-4718-8D5B-F7D18E678C1A}" destId="{8E1370CB-93F8-444F-9967-D936788E3695}" srcOrd="0" destOrd="0" presId="urn:microsoft.com/office/officeart/2005/8/layout/hierarchy2"/>
    <dgm:cxn modelId="{8F2A61F3-C499-4C39-BBB6-9103B462F4E3}" srcId="{BE3B6B97-B57C-481F-9B20-057BBEF0302D}" destId="{D1930453-F5C7-42C3-9E79-314D2F13E0D5}" srcOrd="0" destOrd="0" parTransId="{523008B3-375E-4F76-8BBA-F0C5DD8AAD7C}" sibTransId="{E44C2C15-0C10-48C1-84AB-D27FF8B4FE10}"/>
    <dgm:cxn modelId="{B1D473F3-4EE9-47F2-AE93-3C4A708DBF1A}" type="presOf" srcId="{670E79AA-D64C-4236-B240-551A32235EAB}" destId="{2F7518E0-6D8B-46C4-A5B7-CCF792C73896}" srcOrd="1" destOrd="0" presId="urn:microsoft.com/office/officeart/2005/8/layout/hierarchy2"/>
    <dgm:cxn modelId="{ADAE5DF4-319F-4A88-AA15-E64D38746F48}" type="presOf" srcId="{7684DF46-84D8-4C50-8A9F-31EA8213FB8F}" destId="{E34D27DB-4B13-4000-A993-55A76E088639}" srcOrd="1" destOrd="0" presId="urn:microsoft.com/office/officeart/2005/8/layout/hierarchy2"/>
    <dgm:cxn modelId="{CBA9AFF5-9467-486E-A52F-DF25AD2AA6BC}" type="presOf" srcId="{1FFD5BF2-2C7D-4F2D-9CA7-5994498F4EBE}" destId="{5AE63F79-B12E-4034-A16F-FCC085DB5583}" srcOrd="0" destOrd="0" presId="urn:microsoft.com/office/officeart/2005/8/layout/hierarchy2"/>
    <dgm:cxn modelId="{ECBB11F7-8351-44AC-87B1-45479947C508}" type="presOf" srcId="{D91732D2-8DC1-4440-82B7-FE4475CEA2AD}" destId="{62FF1B95-6D37-432F-A77D-E6358BD98A71}" srcOrd="0" destOrd="0" presId="urn:microsoft.com/office/officeart/2005/8/layout/hierarchy2"/>
    <dgm:cxn modelId="{FE0085FC-5850-451B-9344-326171258F9C}" srcId="{AFFA59BD-AF0C-4CF7-ADE9-D19CA678A1F9}" destId="{6F7E3DE7-8B44-472A-B5F7-7882D8D63FD2}" srcOrd="2" destOrd="0" parTransId="{2B930E41-CF0D-4952-8173-9F948B6566BA}" sibTransId="{ECF87BCA-0628-48B3-A239-605819842BD7}"/>
    <dgm:cxn modelId="{B84DC8FD-BDC1-4371-8BB8-65DAF868690B}" type="presOf" srcId="{B80FBB11-8805-4A9C-A912-FA4940800097}" destId="{6E9E7FC1-0EF3-4ED7-8060-3846FE53A7D8}" srcOrd="1" destOrd="0" presId="urn:microsoft.com/office/officeart/2005/8/layout/hierarchy2"/>
    <dgm:cxn modelId="{F9E572FE-E804-4938-99A7-C6A375E75B09}" srcId="{BE3B6B97-B57C-481F-9B20-057BBEF0302D}" destId="{E83105C4-C03D-4F52-A3E0-4D891D29C2CA}" srcOrd="1" destOrd="0" parTransId="{51A25E72-2ABD-4D0A-8ECD-DA12FFBEA455}" sibTransId="{8F832576-1CAB-462B-BC01-3841709A302B}"/>
    <dgm:cxn modelId="{8F21B0FE-C9FD-4DDD-9346-C75BFEECB89F}" type="presOf" srcId="{EBC51BF5-E543-4D47-8CB2-7C2F52A789BC}" destId="{EECEE63E-0E29-4627-AE30-CDED66485EC6}" srcOrd="1" destOrd="0" presId="urn:microsoft.com/office/officeart/2005/8/layout/hierarchy2"/>
    <dgm:cxn modelId="{97481035-918F-4E2A-85AB-C127993EFCB0}" type="presParOf" srcId="{13C6E4F5-D815-411F-A06D-9BEFE9BA69C0}" destId="{DA8FC07F-DA8F-4A2E-B1FB-A625CDDA934F}" srcOrd="0" destOrd="0" presId="urn:microsoft.com/office/officeart/2005/8/layout/hierarchy2"/>
    <dgm:cxn modelId="{483D806C-43A4-49C5-899A-72F0BE58B3E6}" type="presParOf" srcId="{DA8FC07F-DA8F-4A2E-B1FB-A625CDDA934F}" destId="{05817D6F-AD44-4A52-A556-08718A0DB57F}" srcOrd="0" destOrd="0" presId="urn:microsoft.com/office/officeart/2005/8/layout/hierarchy2"/>
    <dgm:cxn modelId="{D126B8A7-0DDB-4ECB-993F-27371A12A38C}" type="presParOf" srcId="{DA8FC07F-DA8F-4A2E-B1FB-A625CDDA934F}" destId="{69E2FF68-5AF0-47F7-82D9-DCFE99A06E50}" srcOrd="1" destOrd="0" presId="urn:microsoft.com/office/officeart/2005/8/layout/hierarchy2"/>
    <dgm:cxn modelId="{EB98BCAF-B248-447E-850F-2AB8BD93A289}" type="presParOf" srcId="{69E2FF68-5AF0-47F7-82D9-DCFE99A06E50}" destId="{BB2524A6-5A7F-41C7-AD01-0CC17F262024}" srcOrd="0" destOrd="0" presId="urn:microsoft.com/office/officeart/2005/8/layout/hierarchy2"/>
    <dgm:cxn modelId="{24C9B9A8-A353-4B0A-BD71-B76E71F4335C}" type="presParOf" srcId="{BB2524A6-5A7F-41C7-AD01-0CC17F262024}" destId="{43B98741-D4DC-4FCE-94CB-3DE353FC3C3C}" srcOrd="0" destOrd="0" presId="urn:microsoft.com/office/officeart/2005/8/layout/hierarchy2"/>
    <dgm:cxn modelId="{415ECB29-0ED0-443C-8A46-71FF2E04D120}" type="presParOf" srcId="{69E2FF68-5AF0-47F7-82D9-DCFE99A06E50}" destId="{F44DDCC3-18F8-4CEE-9C8A-01755D4D0073}" srcOrd="1" destOrd="0" presId="urn:microsoft.com/office/officeart/2005/8/layout/hierarchy2"/>
    <dgm:cxn modelId="{533257CE-F167-4818-96AE-32F3DE6FD79B}" type="presParOf" srcId="{F44DDCC3-18F8-4CEE-9C8A-01755D4D0073}" destId="{543A386C-6C7B-403F-9E36-016835E46758}" srcOrd="0" destOrd="0" presId="urn:microsoft.com/office/officeart/2005/8/layout/hierarchy2"/>
    <dgm:cxn modelId="{43C27950-4D6C-45EC-AD32-07BE5E52FDD2}" type="presParOf" srcId="{F44DDCC3-18F8-4CEE-9C8A-01755D4D0073}" destId="{8EB7B22F-A292-4B62-8473-FCC34296E333}" srcOrd="1" destOrd="0" presId="urn:microsoft.com/office/officeart/2005/8/layout/hierarchy2"/>
    <dgm:cxn modelId="{269B6B06-0AFE-45D2-AE8D-8AFC58276E84}" type="presParOf" srcId="{8EB7B22F-A292-4B62-8473-FCC34296E333}" destId="{2234839A-7F72-4BDC-9662-67596C1E5DDE}" srcOrd="0" destOrd="0" presId="urn:microsoft.com/office/officeart/2005/8/layout/hierarchy2"/>
    <dgm:cxn modelId="{E7CE55F9-9EEA-44F3-BE4A-7116EBBC64B5}" type="presParOf" srcId="{2234839A-7F72-4BDC-9662-67596C1E5DDE}" destId="{D1A00F3A-8B53-4D9C-B868-BA54EE06CC6E}" srcOrd="0" destOrd="0" presId="urn:microsoft.com/office/officeart/2005/8/layout/hierarchy2"/>
    <dgm:cxn modelId="{0C5D7931-3444-41E5-B97A-2109FEBA4F75}" type="presParOf" srcId="{8EB7B22F-A292-4B62-8473-FCC34296E333}" destId="{62A6881E-B63D-4FE7-ABF9-D2A550DC9B4A}" srcOrd="1" destOrd="0" presId="urn:microsoft.com/office/officeart/2005/8/layout/hierarchy2"/>
    <dgm:cxn modelId="{D15C1D55-DBD0-4ED4-BFAE-13F676708A0D}" type="presParOf" srcId="{62A6881E-B63D-4FE7-ABF9-D2A550DC9B4A}" destId="{DB1ECD12-944C-43D7-B454-E6C14EE64881}" srcOrd="0" destOrd="0" presId="urn:microsoft.com/office/officeart/2005/8/layout/hierarchy2"/>
    <dgm:cxn modelId="{77DDB98F-9D53-41D3-9221-44CB6B0ED70E}" type="presParOf" srcId="{62A6881E-B63D-4FE7-ABF9-D2A550DC9B4A}" destId="{1461C265-40A2-45F7-B0FF-DB5F96BFE14F}" srcOrd="1" destOrd="0" presId="urn:microsoft.com/office/officeart/2005/8/layout/hierarchy2"/>
    <dgm:cxn modelId="{74E2E64D-435A-446E-B9E5-5DABEEDC4332}" type="presParOf" srcId="{1461C265-40A2-45F7-B0FF-DB5F96BFE14F}" destId="{03C39051-A168-47AF-B876-DA0DAF578EE8}" srcOrd="0" destOrd="0" presId="urn:microsoft.com/office/officeart/2005/8/layout/hierarchy2"/>
    <dgm:cxn modelId="{0AFE65E3-D391-4408-BDA2-B96B679B33F6}" type="presParOf" srcId="{03C39051-A168-47AF-B876-DA0DAF578EE8}" destId="{28881B8C-A101-4C81-AF93-91836CFA7BE9}" srcOrd="0" destOrd="0" presId="urn:microsoft.com/office/officeart/2005/8/layout/hierarchy2"/>
    <dgm:cxn modelId="{B7D2E69B-C9E1-438E-AE8B-F8C34A335296}" type="presParOf" srcId="{1461C265-40A2-45F7-B0FF-DB5F96BFE14F}" destId="{76A3F45D-63AF-4CA0-A3EE-65AA7126D30C}" srcOrd="1" destOrd="0" presId="urn:microsoft.com/office/officeart/2005/8/layout/hierarchy2"/>
    <dgm:cxn modelId="{20D6685C-8530-4C4C-A477-6605AC85DBE1}" type="presParOf" srcId="{76A3F45D-63AF-4CA0-A3EE-65AA7126D30C}" destId="{71620E72-9755-481D-8400-5F7D92E05BD1}" srcOrd="0" destOrd="0" presId="urn:microsoft.com/office/officeart/2005/8/layout/hierarchy2"/>
    <dgm:cxn modelId="{4FF973BE-2744-4282-B314-734082B40D11}" type="presParOf" srcId="{76A3F45D-63AF-4CA0-A3EE-65AA7126D30C}" destId="{34499FE8-0E25-4CE2-A55A-AFE397C25106}" srcOrd="1" destOrd="0" presId="urn:microsoft.com/office/officeart/2005/8/layout/hierarchy2"/>
    <dgm:cxn modelId="{344DBE61-2F4F-4938-9107-57288C6D5001}" type="presParOf" srcId="{1461C265-40A2-45F7-B0FF-DB5F96BFE14F}" destId="{90B5ADE1-76EB-465F-A336-C38490DEDF1C}" srcOrd="2" destOrd="0" presId="urn:microsoft.com/office/officeart/2005/8/layout/hierarchy2"/>
    <dgm:cxn modelId="{5DAEDAFC-8E1E-4AA0-8E6B-FC314ACB66F8}" type="presParOf" srcId="{90B5ADE1-76EB-465F-A336-C38490DEDF1C}" destId="{BDFFB75B-9EAE-4A2A-8828-33510F0EA5E0}" srcOrd="0" destOrd="0" presId="urn:microsoft.com/office/officeart/2005/8/layout/hierarchy2"/>
    <dgm:cxn modelId="{82C1D92F-2564-4095-8ABF-0260BEEDFF58}" type="presParOf" srcId="{1461C265-40A2-45F7-B0FF-DB5F96BFE14F}" destId="{074B5E31-44F2-4D24-A0B9-8CA5B170653D}" srcOrd="3" destOrd="0" presId="urn:microsoft.com/office/officeart/2005/8/layout/hierarchy2"/>
    <dgm:cxn modelId="{3531886D-A633-407C-AA86-0E01944D75C7}" type="presParOf" srcId="{074B5E31-44F2-4D24-A0B9-8CA5B170653D}" destId="{C0AF1216-36BC-4E13-9FC2-0A455B0D2AD5}" srcOrd="0" destOrd="0" presId="urn:microsoft.com/office/officeart/2005/8/layout/hierarchy2"/>
    <dgm:cxn modelId="{5D2CC6A9-356B-4DD4-AE18-1742096ED54B}" type="presParOf" srcId="{074B5E31-44F2-4D24-A0B9-8CA5B170653D}" destId="{57C40BE2-51DA-421D-BBD2-6FD01A9AAD93}" srcOrd="1" destOrd="0" presId="urn:microsoft.com/office/officeart/2005/8/layout/hierarchy2"/>
    <dgm:cxn modelId="{67B3070E-00A6-4A99-8141-48A55CC6142D}" type="presParOf" srcId="{1461C265-40A2-45F7-B0FF-DB5F96BFE14F}" destId="{5F786418-D004-40EC-933F-1557C15E86C2}" srcOrd="4" destOrd="0" presId="urn:microsoft.com/office/officeart/2005/8/layout/hierarchy2"/>
    <dgm:cxn modelId="{4EEE6D00-5477-4ED4-8362-E1B1FD1D6C0F}" type="presParOf" srcId="{5F786418-D004-40EC-933F-1557C15E86C2}" destId="{6E9E7FC1-0EF3-4ED7-8060-3846FE53A7D8}" srcOrd="0" destOrd="0" presId="urn:microsoft.com/office/officeart/2005/8/layout/hierarchy2"/>
    <dgm:cxn modelId="{8E174BCF-BEC9-489E-959E-6219680842EC}" type="presParOf" srcId="{1461C265-40A2-45F7-B0FF-DB5F96BFE14F}" destId="{B22B25CE-4937-4CD7-91C0-DF1CA9ABEE72}" srcOrd="5" destOrd="0" presId="urn:microsoft.com/office/officeart/2005/8/layout/hierarchy2"/>
    <dgm:cxn modelId="{482B4F21-D967-4B89-A0F1-5B57FA7EC498}" type="presParOf" srcId="{B22B25CE-4937-4CD7-91C0-DF1CA9ABEE72}" destId="{E6BC9C15-8BE6-483E-9A89-CA11311D4A78}" srcOrd="0" destOrd="0" presId="urn:microsoft.com/office/officeart/2005/8/layout/hierarchy2"/>
    <dgm:cxn modelId="{602779B5-B4B6-4B03-82F3-D05367024972}" type="presParOf" srcId="{B22B25CE-4937-4CD7-91C0-DF1CA9ABEE72}" destId="{1BEC3A4E-D475-4174-8436-DB07B7BE91EE}" srcOrd="1" destOrd="0" presId="urn:microsoft.com/office/officeart/2005/8/layout/hierarchy2"/>
    <dgm:cxn modelId="{D6209DCF-FEEC-4073-83F7-E8815B86C55E}" type="presParOf" srcId="{8EB7B22F-A292-4B62-8473-FCC34296E333}" destId="{DACAFF4A-8E6F-47F2-A5DC-1E957A4F3441}" srcOrd="2" destOrd="0" presId="urn:microsoft.com/office/officeart/2005/8/layout/hierarchy2"/>
    <dgm:cxn modelId="{D698373E-737F-487E-A30F-641430378AF8}" type="presParOf" srcId="{DACAFF4A-8E6F-47F2-A5DC-1E957A4F3441}" destId="{2DB759D0-1290-4950-A2E8-086111A4E19D}" srcOrd="0" destOrd="0" presId="urn:microsoft.com/office/officeart/2005/8/layout/hierarchy2"/>
    <dgm:cxn modelId="{41C75FB2-B32B-4D22-A6A5-CBD25D4D4534}" type="presParOf" srcId="{8EB7B22F-A292-4B62-8473-FCC34296E333}" destId="{7B6E1916-47FA-4887-BC35-9D7590792EDB}" srcOrd="3" destOrd="0" presId="urn:microsoft.com/office/officeart/2005/8/layout/hierarchy2"/>
    <dgm:cxn modelId="{F3E225AF-FA9F-4F8A-874D-20ED8AD05CD4}" type="presParOf" srcId="{7B6E1916-47FA-4887-BC35-9D7590792EDB}" destId="{F4490D86-4BCF-47A5-8195-82E786A757F0}" srcOrd="0" destOrd="0" presId="urn:microsoft.com/office/officeart/2005/8/layout/hierarchy2"/>
    <dgm:cxn modelId="{EDB2DC1D-F25B-45E4-906C-F3D2B68FB70E}" type="presParOf" srcId="{7B6E1916-47FA-4887-BC35-9D7590792EDB}" destId="{4528C72D-9C85-488D-869F-5F97366CB8A9}" srcOrd="1" destOrd="0" presId="urn:microsoft.com/office/officeart/2005/8/layout/hierarchy2"/>
    <dgm:cxn modelId="{E30FBDF2-17B0-40D2-91CD-58B9AA4DEED4}" type="presParOf" srcId="{4528C72D-9C85-488D-869F-5F97366CB8A9}" destId="{7CDA4973-3D1F-4508-99F8-8D7E0B6479A3}" srcOrd="0" destOrd="0" presId="urn:microsoft.com/office/officeart/2005/8/layout/hierarchy2"/>
    <dgm:cxn modelId="{55E911B0-A505-4B6D-98B5-0DFA842FD705}" type="presParOf" srcId="{7CDA4973-3D1F-4508-99F8-8D7E0B6479A3}" destId="{0451A1C5-1F0A-43CB-8990-641CA74A49A6}" srcOrd="0" destOrd="0" presId="urn:microsoft.com/office/officeart/2005/8/layout/hierarchy2"/>
    <dgm:cxn modelId="{0DDCC15E-BDFB-4187-B630-CF03352DFAE1}" type="presParOf" srcId="{4528C72D-9C85-488D-869F-5F97366CB8A9}" destId="{BA1EDF4F-C383-4E01-9ACC-C18D9AC9ED72}" srcOrd="1" destOrd="0" presId="urn:microsoft.com/office/officeart/2005/8/layout/hierarchy2"/>
    <dgm:cxn modelId="{CD85C0C6-C0CA-414F-B5D6-07F0C2EB9B15}" type="presParOf" srcId="{BA1EDF4F-C383-4E01-9ACC-C18D9AC9ED72}" destId="{41A10ED3-9830-4024-9A0A-EE12435AE656}" srcOrd="0" destOrd="0" presId="urn:microsoft.com/office/officeart/2005/8/layout/hierarchy2"/>
    <dgm:cxn modelId="{A490D7E1-3768-4376-84EC-7DA9BE2CE1F0}" type="presParOf" srcId="{BA1EDF4F-C383-4E01-9ACC-C18D9AC9ED72}" destId="{04DFF11C-D850-4EDF-9B80-9B41CA254471}" srcOrd="1" destOrd="0" presId="urn:microsoft.com/office/officeart/2005/8/layout/hierarchy2"/>
    <dgm:cxn modelId="{05140E86-582E-49C4-9E20-94FE9F413EDB}" type="presParOf" srcId="{4528C72D-9C85-488D-869F-5F97366CB8A9}" destId="{6959B8C7-7AC1-4B70-8A89-D8ACA139A7AE}" srcOrd="2" destOrd="0" presId="urn:microsoft.com/office/officeart/2005/8/layout/hierarchy2"/>
    <dgm:cxn modelId="{9C82AAAD-EA78-4C63-A1AF-E1BA536CE275}" type="presParOf" srcId="{6959B8C7-7AC1-4B70-8A89-D8ACA139A7AE}" destId="{84EEA528-C4E3-4C8B-AE73-C7EC56DF7E41}" srcOrd="0" destOrd="0" presId="urn:microsoft.com/office/officeart/2005/8/layout/hierarchy2"/>
    <dgm:cxn modelId="{06A0B826-F36F-4F1E-BFF8-ABB57B78BD18}" type="presParOf" srcId="{4528C72D-9C85-488D-869F-5F97366CB8A9}" destId="{14DDC385-57BB-46AD-A6B5-6065DD607A04}" srcOrd="3" destOrd="0" presId="urn:microsoft.com/office/officeart/2005/8/layout/hierarchy2"/>
    <dgm:cxn modelId="{721ACA1B-A4F6-4222-8C49-8886D482B2E9}" type="presParOf" srcId="{14DDC385-57BB-46AD-A6B5-6065DD607A04}" destId="{B58A1E0A-DD19-400F-BF54-2252E25E9793}" srcOrd="0" destOrd="0" presId="urn:microsoft.com/office/officeart/2005/8/layout/hierarchy2"/>
    <dgm:cxn modelId="{A69C1C9B-9AD8-411D-B1A2-5E08C51BD334}" type="presParOf" srcId="{14DDC385-57BB-46AD-A6B5-6065DD607A04}" destId="{F9626236-927F-4357-BEDD-38AD26C75F8B}" srcOrd="1" destOrd="0" presId="urn:microsoft.com/office/officeart/2005/8/layout/hierarchy2"/>
    <dgm:cxn modelId="{822AF9F5-3288-4B4C-9BF0-C777A3A84F19}" type="presParOf" srcId="{4528C72D-9C85-488D-869F-5F97366CB8A9}" destId="{66B6C410-A83D-493B-AD39-6E1E47C411B5}" srcOrd="4" destOrd="0" presId="urn:microsoft.com/office/officeart/2005/8/layout/hierarchy2"/>
    <dgm:cxn modelId="{E30E5F90-F45A-4891-B4C3-DEDF8C6E7791}" type="presParOf" srcId="{66B6C410-A83D-493B-AD39-6E1E47C411B5}" destId="{CC16E1FB-25F6-4E5D-A230-543598D1DAD1}" srcOrd="0" destOrd="0" presId="urn:microsoft.com/office/officeart/2005/8/layout/hierarchy2"/>
    <dgm:cxn modelId="{A9975FE5-C620-4C4F-973C-7A45706BA130}" type="presParOf" srcId="{4528C72D-9C85-488D-869F-5F97366CB8A9}" destId="{D436F572-CD03-4851-AA82-B11E909B9E99}" srcOrd="5" destOrd="0" presId="urn:microsoft.com/office/officeart/2005/8/layout/hierarchy2"/>
    <dgm:cxn modelId="{C6613A90-4256-4E1A-86D0-87D2EFE78643}" type="presParOf" srcId="{D436F572-CD03-4851-AA82-B11E909B9E99}" destId="{F226DFC6-CD6C-4E7B-B38C-81D855A51B13}" srcOrd="0" destOrd="0" presId="urn:microsoft.com/office/officeart/2005/8/layout/hierarchy2"/>
    <dgm:cxn modelId="{BFF70FEB-6EA8-4544-B439-22778335656A}" type="presParOf" srcId="{D436F572-CD03-4851-AA82-B11E909B9E99}" destId="{13662312-045D-459C-85EB-F256ECFCF51A}" srcOrd="1" destOrd="0" presId="urn:microsoft.com/office/officeart/2005/8/layout/hierarchy2"/>
    <dgm:cxn modelId="{27397F29-A9DA-4503-9FE0-4EA0CB6731F5}" type="presParOf" srcId="{8EB7B22F-A292-4B62-8473-FCC34296E333}" destId="{0F145BA9-AA7E-455D-8C83-E0F59CF38BAB}" srcOrd="4" destOrd="0" presId="urn:microsoft.com/office/officeart/2005/8/layout/hierarchy2"/>
    <dgm:cxn modelId="{146F15E1-6097-40F2-A026-FEDACC3B2150}" type="presParOf" srcId="{0F145BA9-AA7E-455D-8C83-E0F59CF38BAB}" destId="{35A1A727-3C8D-4AAC-9132-07DFE67153F4}" srcOrd="0" destOrd="0" presId="urn:microsoft.com/office/officeart/2005/8/layout/hierarchy2"/>
    <dgm:cxn modelId="{F3B3D2C6-4750-4A4D-A655-EA3D1ACF58F4}" type="presParOf" srcId="{8EB7B22F-A292-4B62-8473-FCC34296E333}" destId="{8C5F1B0D-C8A2-4994-A28A-33BA5EEAEAE4}" srcOrd="5" destOrd="0" presId="urn:microsoft.com/office/officeart/2005/8/layout/hierarchy2"/>
    <dgm:cxn modelId="{FC23789E-0AB4-4537-B1B2-4B47BC19B28D}" type="presParOf" srcId="{8C5F1B0D-C8A2-4994-A28A-33BA5EEAEAE4}" destId="{B181FD80-43F5-4AB1-ADC3-6811670233F3}" srcOrd="0" destOrd="0" presId="urn:microsoft.com/office/officeart/2005/8/layout/hierarchy2"/>
    <dgm:cxn modelId="{B7A7D470-1C97-4249-A874-BBBB8359DCDE}" type="presParOf" srcId="{8C5F1B0D-C8A2-4994-A28A-33BA5EEAEAE4}" destId="{32E9223E-DEA7-4972-AC31-A628467D1C5A}" srcOrd="1" destOrd="0" presId="urn:microsoft.com/office/officeart/2005/8/layout/hierarchy2"/>
    <dgm:cxn modelId="{2D6BACC1-AD55-4AF1-AC61-F6229DA6E75C}" type="presParOf" srcId="{32E9223E-DEA7-4972-AC31-A628467D1C5A}" destId="{D69DA898-7D1A-4FEB-99CB-C669E8105167}" srcOrd="0" destOrd="0" presId="urn:microsoft.com/office/officeart/2005/8/layout/hierarchy2"/>
    <dgm:cxn modelId="{0F876DB5-4370-45B9-B5B2-6E8607A715BB}" type="presParOf" srcId="{D69DA898-7D1A-4FEB-99CB-C669E8105167}" destId="{B7E1E6B7-420E-48AE-9AA8-CAC7D67C7F04}" srcOrd="0" destOrd="0" presId="urn:microsoft.com/office/officeart/2005/8/layout/hierarchy2"/>
    <dgm:cxn modelId="{2E9C13B2-75DD-4634-AAA4-697F41DA0717}" type="presParOf" srcId="{32E9223E-DEA7-4972-AC31-A628467D1C5A}" destId="{683BCD62-5B96-47AF-81BF-F1A3FDB8EF68}" srcOrd="1" destOrd="0" presId="urn:microsoft.com/office/officeart/2005/8/layout/hierarchy2"/>
    <dgm:cxn modelId="{A4F2C643-9E86-48A7-8934-829CC2DED570}" type="presParOf" srcId="{683BCD62-5B96-47AF-81BF-F1A3FDB8EF68}" destId="{4F102353-4E3C-470B-A831-C9332F4D84F9}" srcOrd="0" destOrd="0" presId="urn:microsoft.com/office/officeart/2005/8/layout/hierarchy2"/>
    <dgm:cxn modelId="{D9A2B8F1-7101-4168-8806-DBA640ADD4C4}" type="presParOf" srcId="{683BCD62-5B96-47AF-81BF-F1A3FDB8EF68}" destId="{24B64D61-5CD7-46B0-AFA8-2794309E69CA}" srcOrd="1" destOrd="0" presId="urn:microsoft.com/office/officeart/2005/8/layout/hierarchy2"/>
    <dgm:cxn modelId="{74240EB5-F786-49CE-AB5F-B64F1F792CE0}" type="presParOf" srcId="{32E9223E-DEA7-4972-AC31-A628467D1C5A}" destId="{F71E58EA-0CDA-47F6-A95B-E22E0F5ED500}" srcOrd="2" destOrd="0" presId="urn:microsoft.com/office/officeart/2005/8/layout/hierarchy2"/>
    <dgm:cxn modelId="{66425BCF-5BE6-47E4-9B4B-95445BF6D96B}" type="presParOf" srcId="{F71E58EA-0CDA-47F6-A95B-E22E0F5ED500}" destId="{BBA4431C-A027-4DBA-A33B-751E92FE75EB}" srcOrd="0" destOrd="0" presId="urn:microsoft.com/office/officeart/2005/8/layout/hierarchy2"/>
    <dgm:cxn modelId="{3309A5B2-CB9B-4C58-9746-49C92CD8EACB}" type="presParOf" srcId="{32E9223E-DEA7-4972-AC31-A628467D1C5A}" destId="{D706A3BD-0EE7-4317-862C-AF45A8297BFB}" srcOrd="3" destOrd="0" presId="urn:microsoft.com/office/officeart/2005/8/layout/hierarchy2"/>
    <dgm:cxn modelId="{A7082C21-7837-4B75-98F3-3EEB88E9CB4F}" type="presParOf" srcId="{D706A3BD-0EE7-4317-862C-AF45A8297BFB}" destId="{0E7BB32D-EBB9-4F40-BFB2-8E5067399547}" srcOrd="0" destOrd="0" presId="urn:microsoft.com/office/officeart/2005/8/layout/hierarchy2"/>
    <dgm:cxn modelId="{062B1054-D115-4DD1-9459-E6B6C08534CA}" type="presParOf" srcId="{D706A3BD-0EE7-4317-862C-AF45A8297BFB}" destId="{A5847B5B-D860-401E-A87B-9966B8649AD0}" srcOrd="1" destOrd="0" presId="urn:microsoft.com/office/officeart/2005/8/layout/hierarchy2"/>
    <dgm:cxn modelId="{283230C5-874B-430E-B8F7-2312A1C54C55}" type="presParOf" srcId="{32E9223E-DEA7-4972-AC31-A628467D1C5A}" destId="{3B5C78A4-0160-4B99-AAA4-0DA3D88D23BF}" srcOrd="4" destOrd="0" presId="urn:microsoft.com/office/officeart/2005/8/layout/hierarchy2"/>
    <dgm:cxn modelId="{F7235ED3-326E-434B-A5E0-99BDC2869F26}" type="presParOf" srcId="{3B5C78A4-0160-4B99-AAA4-0DA3D88D23BF}" destId="{82CCBA89-A243-42BA-8E4E-50D7759C077D}" srcOrd="0" destOrd="0" presId="urn:microsoft.com/office/officeart/2005/8/layout/hierarchy2"/>
    <dgm:cxn modelId="{5F28A65E-2B31-4D12-A383-7DB8992E10B9}" type="presParOf" srcId="{32E9223E-DEA7-4972-AC31-A628467D1C5A}" destId="{89A93A6A-079B-4A8E-AD32-3B7EB6230F47}" srcOrd="5" destOrd="0" presId="urn:microsoft.com/office/officeart/2005/8/layout/hierarchy2"/>
    <dgm:cxn modelId="{CA8842CE-DA79-4752-8A14-1B45FD894633}" type="presParOf" srcId="{89A93A6A-079B-4A8E-AD32-3B7EB6230F47}" destId="{919F03E3-9F40-45A3-9741-0A8DBDA2FE8A}" srcOrd="0" destOrd="0" presId="urn:microsoft.com/office/officeart/2005/8/layout/hierarchy2"/>
    <dgm:cxn modelId="{4B8F13DC-A928-4771-9E64-70E1924CC559}" type="presParOf" srcId="{89A93A6A-079B-4A8E-AD32-3B7EB6230F47}" destId="{E4F11DD2-EA0B-456D-A9A7-146552685E39}" srcOrd="1" destOrd="0" presId="urn:microsoft.com/office/officeart/2005/8/layout/hierarchy2"/>
    <dgm:cxn modelId="{3171BF03-5F26-4F61-AB6E-D7331A34FE49}" type="presParOf" srcId="{69E2FF68-5AF0-47F7-82D9-DCFE99A06E50}" destId="{0F885D3D-8383-480E-847E-CC35A462504B}" srcOrd="2" destOrd="0" presId="urn:microsoft.com/office/officeart/2005/8/layout/hierarchy2"/>
    <dgm:cxn modelId="{6491A4E7-48F8-43C5-AC26-8DA4346C2CC0}" type="presParOf" srcId="{0F885D3D-8383-480E-847E-CC35A462504B}" destId="{88805D6C-1F21-4A53-8232-490C4AE46E51}" srcOrd="0" destOrd="0" presId="urn:microsoft.com/office/officeart/2005/8/layout/hierarchy2"/>
    <dgm:cxn modelId="{DBA69DAE-F9E9-4119-8113-FECDB18BD95A}" type="presParOf" srcId="{69E2FF68-5AF0-47F7-82D9-DCFE99A06E50}" destId="{44601942-D85E-43DF-9080-E5FD84D2727E}" srcOrd="3" destOrd="0" presId="urn:microsoft.com/office/officeart/2005/8/layout/hierarchy2"/>
    <dgm:cxn modelId="{63E56914-3D38-420A-A4B3-1686281344B1}" type="presParOf" srcId="{44601942-D85E-43DF-9080-E5FD84D2727E}" destId="{F585E2FE-3908-489A-A306-B9316D5C8515}" srcOrd="0" destOrd="0" presId="urn:microsoft.com/office/officeart/2005/8/layout/hierarchy2"/>
    <dgm:cxn modelId="{A066F746-8325-4BD8-B4B4-9CE81CD44B65}" type="presParOf" srcId="{44601942-D85E-43DF-9080-E5FD84D2727E}" destId="{2836013B-BB83-4B4D-A8B1-CE8F121BB84D}" srcOrd="1" destOrd="0" presId="urn:microsoft.com/office/officeart/2005/8/layout/hierarchy2"/>
    <dgm:cxn modelId="{2729977B-0C02-4658-B66C-A4897525740C}" type="presParOf" srcId="{2836013B-BB83-4B4D-A8B1-CE8F121BB84D}" destId="{8415BB3D-3BF9-47A1-A8DE-069EDED63631}" srcOrd="0" destOrd="0" presId="urn:microsoft.com/office/officeart/2005/8/layout/hierarchy2"/>
    <dgm:cxn modelId="{32989D01-6217-4ECE-94C9-8EE50A2EB702}" type="presParOf" srcId="{8415BB3D-3BF9-47A1-A8DE-069EDED63631}" destId="{96111E49-D3E7-4ED7-8FA1-844F10F580CB}" srcOrd="0" destOrd="0" presId="urn:microsoft.com/office/officeart/2005/8/layout/hierarchy2"/>
    <dgm:cxn modelId="{823A6F98-CC0E-46C4-8CC6-8E44A4BAA629}" type="presParOf" srcId="{2836013B-BB83-4B4D-A8B1-CE8F121BB84D}" destId="{28E160D9-57A3-48E2-92D6-0919897456FD}" srcOrd="1" destOrd="0" presId="urn:microsoft.com/office/officeart/2005/8/layout/hierarchy2"/>
    <dgm:cxn modelId="{6FE09E39-5CA7-4C82-B1A5-837CAE616D3A}" type="presParOf" srcId="{28E160D9-57A3-48E2-92D6-0919897456FD}" destId="{37DCABDA-982E-4FF3-A799-576C12D46A04}" srcOrd="0" destOrd="0" presId="urn:microsoft.com/office/officeart/2005/8/layout/hierarchy2"/>
    <dgm:cxn modelId="{4B0250CD-EF94-4A20-8B8B-7A615D7BC6F1}" type="presParOf" srcId="{28E160D9-57A3-48E2-92D6-0919897456FD}" destId="{6A4417A9-3177-48E0-8279-0B58E4AA988D}" srcOrd="1" destOrd="0" presId="urn:microsoft.com/office/officeart/2005/8/layout/hierarchy2"/>
    <dgm:cxn modelId="{2FE073F5-434F-4F5A-8243-22042F0EC56D}" type="presParOf" srcId="{6A4417A9-3177-48E0-8279-0B58E4AA988D}" destId="{390A26D5-C913-427B-AA44-4DEAE06020C1}" srcOrd="0" destOrd="0" presId="urn:microsoft.com/office/officeart/2005/8/layout/hierarchy2"/>
    <dgm:cxn modelId="{389C4448-E490-4234-8146-13EB5FB8BC90}" type="presParOf" srcId="{390A26D5-C913-427B-AA44-4DEAE06020C1}" destId="{2E6E86BE-7F98-44AB-A234-2E1719AF1204}" srcOrd="0" destOrd="0" presId="urn:microsoft.com/office/officeart/2005/8/layout/hierarchy2"/>
    <dgm:cxn modelId="{19C2FFD6-90C3-4255-8B9E-A2C0A2FCEA0C}" type="presParOf" srcId="{6A4417A9-3177-48E0-8279-0B58E4AA988D}" destId="{2FF30FE2-F25C-4A6F-A615-3CFD417599C8}" srcOrd="1" destOrd="0" presId="urn:microsoft.com/office/officeart/2005/8/layout/hierarchy2"/>
    <dgm:cxn modelId="{5E455554-D730-4F52-8E64-BDD139340673}" type="presParOf" srcId="{2FF30FE2-F25C-4A6F-A615-3CFD417599C8}" destId="{B5D48A3D-F390-4BDE-9658-AE52D6F606EF}" srcOrd="0" destOrd="0" presId="urn:microsoft.com/office/officeart/2005/8/layout/hierarchy2"/>
    <dgm:cxn modelId="{798AA5F4-D76A-451F-AD11-C1459FD4B816}" type="presParOf" srcId="{2FF30FE2-F25C-4A6F-A615-3CFD417599C8}" destId="{141B4AE3-858C-42E7-A337-704C21332052}" srcOrd="1" destOrd="0" presId="urn:microsoft.com/office/officeart/2005/8/layout/hierarchy2"/>
    <dgm:cxn modelId="{99D19F87-D19D-4550-B0EF-DE37639C9800}" type="presParOf" srcId="{141B4AE3-858C-42E7-A337-704C21332052}" destId="{05B06E0F-C39B-4FF4-8481-1BDE7A32EC94}" srcOrd="0" destOrd="0" presId="urn:microsoft.com/office/officeart/2005/8/layout/hierarchy2"/>
    <dgm:cxn modelId="{9F0151A2-FA2C-4BDB-9EDA-3802D2806B62}" type="presParOf" srcId="{05B06E0F-C39B-4FF4-8481-1BDE7A32EC94}" destId="{C0A27F31-DAB5-4A4D-A24E-C68160DEEF2E}" srcOrd="0" destOrd="0" presId="urn:microsoft.com/office/officeart/2005/8/layout/hierarchy2"/>
    <dgm:cxn modelId="{B1974F87-F80F-44F2-AA0B-5481A4BE0703}" type="presParOf" srcId="{141B4AE3-858C-42E7-A337-704C21332052}" destId="{4BEE8C13-D4DD-4EDB-855A-2FBAAF01F446}" srcOrd="1" destOrd="0" presId="urn:microsoft.com/office/officeart/2005/8/layout/hierarchy2"/>
    <dgm:cxn modelId="{778DFEBB-3776-4CB1-880B-199141B0B2E1}" type="presParOf" srcId="{4BEE8C13-D4DD-4EDB-855A-2FBAAF01F446}" destId="{6680B383-E4A9-4283-B090-662C5C653B23}" srcOrd="0" destOrd="0" presId="urn:microsoft.com/office/officeart/2005/8/layout/hierarchy2"/>
    <dgm:cxn modelId="{5F991B3C-30D7-41DA-9E70-AEFA1CF273F2}" type="presParOf" srcId="{4BEE8C13-D4DD-4EDB-855A-2FBAAF01F446}" destId="{9EAA6B88-B8B4-4DA6-B45C-8467EA022650}" srcOrd="1" destOrd="0" presId="urn:microsoft.com/office/officeart/2005/8/layout/hierarchy2"/>
    <dgm:cxn modelId="{EA456036-B573-41D2-9B80-DFF76ACA6AD8}" type="presParOf" srcId="{141B4AE3-858C-42E7-A337-704C21332052}" destId="{E36AD7FC-6AC3-4253-ADC4-3D14A733EC4D}" srcOrd="2" destOrd="0" presId="urn:microsoft.com/office/officeart/2005/8/layout/hierarchy2"/>
    <dgm:cxn modelId="{2D60F063-5C19-4554-95C6-79E1C225452C}" type="presParOf" srcId="{E36AD7FC-6AC3-4253-ADC4-3D14A733EC4D}" destId="{972B2748-129F-440C-B3DD-CF89C6ECA59F}" srcOrd="0" destOrd="0" presId="urn:microsoft.com/office/officeart/2005/8/layout/hierarchy2"/>
    <dgm:cxn modelId="{5AEE9FE0-F7DD-4855-8A86-AA4820736DF3}" type="presParOf" srcId="{141B4AE3-858C-42E7-A337-704C21332052}" destId="{12103857-57AF-4535-A6D3-6D240F5396DA}" srcOrd="3" destOrd="0" presId="urn:microsoft.com/office/officeart/2005/8/layout/hierarchy2"/>
    <dgm:cxn modelId="{4131405F-CC9F-4E6A-80B7-729BA6119EFA}" type="presParOf" srcId="{12103857-57AF-4535-A6D3-6D240F5396DA}" destId="{E7E87AC0-CB30-469F-8A81-9AFA79AA8CF3}" srcOrd="0" destOrd="0" presId="urn:microsoft.com/office/officeart/2005/8/layout/hierarchy2"/>
    <dgm:cxn modelId="{5A9B1423-D87A-4DB8-8C66-FC3D8A3BDBE9}" type="presParOf" srcId="{12103857-57AF-4535-A6D3-6D240F5396DA}" destId="{74D5D304-E774-4136-A859-5154118CAF9B}" srcOrd="1" destOrd="0" presId="urn:microsoft.com/office/officeart/2005/8/layout/hierarchy2"/>
    <dgm:cxn modelId="{6F466612-B5DF-4D50-834F-A47E6BBE54DB}" type="presParOf" srcId="{141B4AE3-858C-42E7-A337-704C21332052}" destId="{A585506C-4118-4BAB-AB42-E4F536F8632C}" srcOrd="4" destOrd="0" presId="urn:microsoft.com/office/officeart/2005/8/layout/hierarchy2"/>
    <dgm:cxn modelId="{0F1C4CA4-514F-4074-9789-9CBEA31C1FE1}" type="presParOf" srcId="{A585506C-4118-4BAB-AB42-E4F536F8632C}" destId="{A66065E4-354E-4E19-979D-381A3209E87E}" srcOrd="0" destOrd="0" presId="urn:microsoft.com/office/officeart/2005/8/layout/hierarchy2"/>
    <dgm:cxn modelId="{7CB0063D-2887-4C4C-A67E-A153FC3B4E35}" type="presParOf" srcId="{141B4AE3-858C-42E7-A337-704C21332052}" destId="{A7AE0CD6-D598-4600-8400-2707457163B1}" srcOrd="5" destOrd="0" presId="urn:microsoft.com/office/officeart/2005/8/layout/hierarchy2"/>
    <dgm:cxn modelId="{D3276D94-F006-457D-A1D1-1F70E89E58C4}" type="presParOf" srcId="{A7AE0CD6-D598-4600-8400-2707457163B1}" destId="{D73035F8-5613-4954-8E81-4A1816727585}" srcOrd="0" destOrd="0" presId="urn:microsoft.com/office/officeart/2005/8/layout/hierarchy2"/>
    <dgm:cxn modelId="{6C39B821-1820-4781-A46A-777E4EDF378D}" type="presParOf" srcId="{A7AE0CD6-D598-4600-8400-2707457163B1}" destId="{6D83FC86-9010-4B36-9C1B-94B0B80D1EB1}" srcOrd="1" destOrd="0" presId="urn:microsoft.com/office/officeart/2005/8/layout/hierarchy2"/>
    <dgm:cxn modelId="{F180B06B-B5DE-4502-9696-D83D267439A8}" type="presParOf" srcId="{6A4417A9-3177-48E0-8279-0B58E4AA988D}" destId="{5AE63F79-B12E-4034-A16F-FCC085DB5583}" srcOrd="2" destOrd="0" presId="urn:microsoft.com/office/officeart/2005/8/layout/hierarchy2"/>
    <dgm:cxn modelId="{88E7E5DC-1B14-498A-B731-2024580CE914}" type="presParOf" srcId="{5AE63F79-B12E-4034-A16F-FCC085DB5583}" destId="{EE704537-0B13-4B79-A8C4-6A3B216F94C0}" srcOrd="0" destOrd="0" presId="urn:microsoft.com/office/officeart/2005/8/layout/hierarchy2"/>
    <dgm:cxn modelId="{8395B792-07E8-4CD5-BED9-6292E9A29A1C}" type="presParOf" srcId="{6A4417A9-3177-48E0-8279-0B58E4AA988D}" destId="{AC446694-D213-461B-BE88-3976E0E3001F}" srcOrd="3" destOrd="0" presId="urn:microsoft.com/office/officeart/2005/8/layout/hierarchy2"/>
    <dgm:cxn modelId="{0839CC39-0883-4398-A1B5-D47980173E05}" type="presParOf" srcId="{AC446694-D213-461B-BE88-3976E0E3001F}" destId="{2C0E393F-0E23-48A6-BC9F-7454C1263641}" srcOrd="0" destOrd="0" presId="urn:microsoft.com/office/officeart/2005/8/layout/hierarchy2"/>
    <dgm:cxn modelId="{5A56BC08-1DC1-4CD0-813C-E1827ED3A272}" type="presParOf" srcId="{AC446694-D213-461B-BE88-3976E0E3001F}" destId="{51C08B9F-5CC7-448F-9C38-C7A8682EAB10}" srcOrd="1" destOrd="0" presId="urn:microsoft.com/office/officeart/2005/8/layout/hierarchy2"/>
    <dgm:cxn modelId="{C66D179C-8DAA-4EFC-8DF8-6637D5614EF6}" type="presParOf" srcId="{51C08B9F-5CC7-448F-9C38-C7A8682EAB10}" destId="{CDD1F135-496B-4FA6-9A02-B40A53071DAB}" srcOrd="0" destOrd="0" presId="urn:microsoft.com/office/officeart/2005/8/layout/hierarchy2"/>
    <dgm:cxn modelId="{F1D46EDF-49E6-45EB-98AE-976452072E60}" type="presParOf" srcId="{CDD1F135-496B-4FA6-9A02-B40A53071DAB}" destId="{87C17E78-8066-44D3-9D2B-93A16FB1ADB9}" srcOrd="0" destOrd="0" presId="urn:microsoft.com/office/officeart/2005/8/layout/hierarchy2"/>
    <dgm:cxn modelId="{8496CBF5-7217-47E2-95AF-D268CD664E62}" type="presParOf" srcId="{51C08B9F-5CC7-448F-9C38-C7A8682EAB10}" destId="{B7AC81B6-AA23-4D15-B252-F0986D0B2A08}" srcOrd="1" destOrd="0" presId="urn:microsoft.com/office/officeart/2005/8/layout/hierarchy2"/>
    <dgm:cxn modelId="{7F6CD383-B150-4004-A476-E32EA90E0BFB}" type="presParOf" srcId="{B7AC81B6-AA23-4D15-B252-F0986D0B2A08}" destId="{D41F4524-33ED-4F0A-9303-92A1B51534CF}" srcOrd="0" destOrd="0" presId="urn:microsoft.com/office/officeart/2005/8/layout/hierarchy2"/>
    <dgm:cxn modelId="{CEC0DEFB-92A5-4159-8598-DD547059EFF5}" type="presParOf" srcId="{B7AC81B6-AA23-4D15-B252-F0986D0B2A08}" destId="{C1B405FD-8B79-4D10-BE33-F06003782C7A}" srcOrd="1" destOrd="0" presId="urn:microsoft.com/office/officeart/2005/8/layout/hierarchy2"/>
    <dgm:cxn modelId="{99457F2A-4216-4E7F-9715-65DD6E357CB8}" type="presParOf" srcId="{51C08B9F-5CC7-448F-9C38-C7A8682EAB10}" destId="{744D6922-5585-4672-BAFB-6F9DAFE3EB6F}" srcOrd="2" destOrd="0" presId="urn:microsoft.com/office/officeart/2005/8/layout/hierarchy2"/>
    <dgm:cxn modelId="{4E327F27-A25B-4AC2-A503-217C02BBE09B}" type="presParOf" srcId="{744D6922-5585-4672-BAFB-6F9DAFE3EB6F}" destId="{99A75DDF-6D8B-4F69-94D2-4BA9BD4F0A21}" srcOrd="0" destOrd="0" presId="urn:microsoft.com/office/officeart/2005/8/layout/hierarchy2"/>
    <dgm:cxn modelId="{B7CD4618-D3DC-4B5A-95C9-ED1FEB485346}" type="presParOf" srcId="{51C08B9F-5CC7-448F-9C38-C7A8682EAB10}" destId="{BCAED9BC-082C-4F89-98A8-1DD9B8AA875C}" srcOrd="3" destOrd="0" presId="urn:microsoft.com/office/officeart/2005/8/layout/hierarchy2"/>
    <dgm:cxn modelId="{1D0CFDC7-03A3-4D6A-A435-974FD1622E36}" type="presParOf" srcId="{BCAED9BC-082C-4F89-98A8-1DD9B8AA875C}" destId="{FACEEFBA-22B6-431D-AF11-84C9128A9EBE}" srcOrd="0" destOrd="0" presId="urn:microsoft.com/office/officeart/2005/8/layout/hierarchy2"/>
    <dgm:cxn modelId="{933EB6F6-339E-4BE5-9882-B70C661542F4}" type="presParOf" srcId="{BCAED9BC-082C-4F89-98A8-1DD9B8AA875C}" destId="{765F3967-79D1-49AF-93EF-5D72C62ED0EA}" srcOrd="1" destOrd="0" presId="urn:microsoft.com/office/officeart/2005/8/layout/hierarchy2"/>
    <dgm:cxn modelId="{9AAC6911-B6AD-4BF6-8661-E13BE138814E}" type="presParOf" srcId="{51C08B9F-5CC7-448F-9C38-C7A8682EAB10}" destId="{C52FC2F3-9101-46C9-81CA-893FFF25529E}" srcOrd="4" destOrd="0" presId="urn:microsoft.com/office/officeart/2005/8/layout/hierarchy2"/>
    <dgm:cxn modelId="{4EC386CC-A81D-4E5F-A3BE-913AE2D36323}" type="presParOf" srcId="{C52FC2F3-9101-46C9-81CA-893FFF25529E}" destId="{EECEE63E-0E29-4627-AE30-CDED66485EC6}" srcOrd="0" destOrd="0" presId="urn:microsoft.com/office/officeart/2005/8/layout/hierarchy2"/>
    <dgm:cxn modelId="{16FFFA0F-1DF8-4572-A080-F335E46F59AA}" type="presParOf" srcId="{51C08B9F-5CC7-448F-9C38-C7A8682EAB10}" destId="{34AA07BC-0879-4B95-9105-8E93F7CC2B8B}" srcOrd="5" destOrd="0" presId="urn:microsoft.com/office/officeart/2005/8/layout/hierarchy2"/>
    <dgm:cxn modelId="{66CD0C1D-5AFA-428F-800E-A96ADB08FB0B}" type="presParOf" srcId="{34AA07BC-0879-4B95-9105-8E93F7CC2B8B}" destId="{C9CD7232-363F-400C-AF8F-7A1FE3A5207B}" srcOrd="0" destOrd="0" presId="urn:microsoft.com/office/officeart/2005/8/layout/hierarchy2"/>
    <dgm:cxn modelId="{66A19B92-B610-4511-947A-E7C808FAD775}" type="presParOf" srcId="{34AA07BC-0879-4B95-9105-8E93F7CC2B8B}" destId="{E539E1E1-3AF2-459B-A9C9-F773BA9E7428}" srcOrd="1" destOrd="0" presId="urn:microsoft.com/office/officeart/2005/8/layout/hierarchy2"/>
    <dgm:cxn modelId="{6DAF4D7B-8194-497A-95B5-D4D528AB7EB6}" type="presParOf" srcId="{6A4417A9-3177-48E0-8279-0B58E4AA988D}" destId="{55F36CC3-0FAE-423A-80CF-C7265ECA2DE8}" srcOrd="4" destOrd="0" presId="urn:microsoft.com/office/officeart/2005/8/layout/hierarchy2"/>
    <dgm:cxn modelId="{1420DF9E-BD90-413D-BE8A-56340412026B}" type="presParOf" srcId="{55F36CC3-0FAE-423A-80CF-C7265ECA2DE8}" destId="{8C1CADD3-FE95-43EA-A853-2D0C88E3A8A6}" srcOrd="0" destOrd="0" presId="urn:microsoft.com/office/officeart/2005/8/layout/hierarchy2"/>
    <dgm:cxn modelId="{015DEA55-F10D-40B6-A91C-836651073042}" type="presParOf" srcId="{6A4417A9-3177-48E0-8279-0B58E4AA988D}" destId="{3C2743A6-1475-4581-A8C9-B6A0532F989F}" srcOrd="5" destOrd="0" presId="urn:microsoft.com/office/officeart/2005/8/layout/hierarchy2"/>
    <dgm:cxn modelId="{B8784EB8-738C-4067-B5B1-EC3533806BD7}" type="presParOf" srcId="{3C2743A6-1475-4581-A8C9-B6A0532F989F}" destId="{94209278-B199-41CF-9037-B2F6B25AE76B}" srcOrd="0" destOrd="0" presId="urn:microsoft.com/office/officeart/2005/8/layout/hierarchy2"/>
    <dgm:cxn modelId="{2AD81A9B-2ED9-48C7-85A7-34981BF40735}" type="presParOf" srcId="{3C2743A6-1475-4581-A8C9-B6A0532F989F}" destId="{5082E802-4787-4C5D-B607-11A25E921AA9}" srcOrd="1" destOrd="0" presId="urn:microsoft.com/office/officeart/2005/8/layout/hierarchy2"/>
    <dgm:cxn modelId="{3885E54F-5B72-459E-A2E8-1EA397F84B96}" type="presParOf" srcId="{5082E802-4787-4C5D-B607-11A25E921AA9}" destId="{9C177D46-99B2-461A-A8CB-C27D88CBA076}" srcOrd="0" destOrd="0" presId="urn:microsoft.com/office/officeart/2005/8/layout/hierarchy2"/>
    <dgm:cxn modelId="{61BB5546-1154-43E7-A63F-D6CA7B50B9EE}" type="presParOf" srcId="{9C177D46-99B2-461A-A8CB-C27D88CBA076}" destId="{81BBD952-4DD8-4294-AFAB-CD7398FED066}" srcOrd="0" destOrd="0" presId="urn:microsoft.com/office/officeart/2005/8/layout/hierarchy2"/>
    <dgm:cxn modelId="{39A9E117-54A2-4B25-A5B3-4FE57C6AB0EE}" type="presParOf" srcId="{5082E802-4787-4C5D-B607-11A25E921AA9}" destId="{5E1C66D4-C1AD-4304-9344-0B71A6C37018}" srcOrd="1" destOrd="0" presId="urn:microsoft.com/office/officeart/2005/8/layout/hierarchy2"/>
    <dgm:cxn modelId="{C3883CDB-17F1-4962-9575-BA8FB74BA92E}" type="presParOf" srcId="{5E1C66D4-C1AD-4304-9344-0B71A6C37018}" destId="{AEEE4545-E644-4031-909F-822631E5781D}" srcOrd="0" destOrd="0" presId="urn:microsoft.com/office/officeart/2005/8/layout/hierarchy2"/>
    <dgm:cxn modelId="{AE9E6EB8-6AD3-4829-BF16-70B5EEEA8AEC}" type="presParOf" srcId="{5E1C66D4-C1AD-4304-9344-0B71A6C37018}" destId="{C62CB1CB-273A-4100-A596-50BBAF706CBD}" srcOrd="1" destOrd="0" presId="urn:microsoft.com/office/officeart/2005/8/layout/hierarchy2"/>
    <dgm:cxn modelId="{3BE28CAF-67D5-41A8-8009-04F82C3C5D67}" type="presParOf" srcId="{5082E802-4787-4C5D-B607-11A25E921AA9}" destId="{CAF4066F-373F-4E35-BC0E-01F9BFB88D59}" srcOrd="2" destOrd="0" presId="urn:microsoft.com/office/officeart/2005/8/layout/hierarchy2"/>
    <dgm:cxn modelId="{6A968DC5-6735-4798-AC2F-39688E947151}" type="presParOf" srcId="{CAF4066F-373F-4E35-BC0E-01F9BFB88D59}" destId="{2F7518E0-6D8B-46C4-A5B7-CCF792C73896}" srcOrd="0" destOrd="0" presId="urn:microsoft.com/office/officeart/2005/8/layout/hierarchy2"/>
    <dgm:cxn modelId="{B061F1EC-7FDB-4656-881E-C8EF35955AB5}" type="presParOf" srcId="{5082E802-4787-4C5D-B607-11A25E921AA9}" destId="{1D5CC65F-9273-467D-8280-CB65430028E0}" srcOrd="3" destOrd="0" presId="urn:microsoft.com/office/officeart/2005/8/layout/hierarchy2"/>
    <dgm:cxn modelId="{30D14010-B220-4A4C-93AA-C014575CFEE4}" type="presParOf" srcId="{1D5CC65F-9273-467D-8280-CB65430028E0}" destId="{CFC1A9B1-BB96-4A4E-BF5E-17397D293831}" srcOrd="0" destOrd="0" presId="urn:microsoft.com/office/officeart/2005/8/layout/hierarchy2"/>
    <dgm:cxn modelId="{40F91371-C58A-496C-B045-3C44F9C7C797}" type="presParOf" srcId="{1D5CC65F-9273-467D-8280-CB65430028E0}" destId="{E974A3C7-FAB2-49FD-BA96-C1D98D02D7D8}" srcOrd="1" destOrd="0" presId="urn:microsoft.com/office/officeart/2005/8/layout/hierarchy2"/>
    <dgm:cxn modelId="{9E8C58D3-7A61-4FB6-82BF-CFC4FFB255E5}" type="presParOf" srcId="{5082E802-4787-4C5D-B607-11A25E921AA9}" destId="{6AAF7069-20AD-48C4-AB99-29057A9498CA}" srcOrd="4" destOrd="0" presId="urn:microsoft.com/office/officeart/2005/8/layout/hierarchy2"/>
    <dgm:cxn modelId="{E5565A06-386C-4F94-9818-969C8F24A006}" type="presParOf" srcId="{6AAF7069-20AD-48C4-AB99-29057A9498CA}" destId="{443D4BCE-908C-4547-B51F-5083FA7BFEAF}" srcOrd="0" destOrd="0" presId="urn:microsoft.com/office/officeart/2005/8/layout/hierarchy2"/>
    <dgm:cxn modelId="{64C2C2CC-B67F-4D85-96B4-6819CA698B0F}" type="presParOf" srcId="{5082E802-4787-4C5D-B607-11A25E921AA9}" destId="{1CF7BF30-CC50-4995-864D-5C788F693C2B}" srcOrd="5" destOrd="0" presId="urn:microsoft.com/office/officeart/2005/8/layout/hierarchy2"/>
    <dgm:cxn modelId="{8E15EEAA-EF6A-4A80-B20A-7BB07587DBDD}" type="presParOf" srcId="{1CF7BF30-CC50-4995-864D-5C788F693C2B}" destId="{53A53E49-EAF0-4FF0-B07C-F648FF7970B5}" srcOrd="0" destOrd="0" presId="urn:microsoft.com/office/officeart/2005/8/layout/hierarchy2"/>
    <dgm:cxn modelId="{26C62852-011E-4D19-BA63-A5A14F46BA6E}" type="presParOf" srcId="{1CF7BF30-CC50-4995-864D-5C788F693C2B}" destId="{1B37753B-A405-425F-9844-97CBC7CD886A}" srcOrd="1" destOrd="0" presId="urn:microsoft.com/office/officeart/2005/8/layout/hierarchy2"/>
    <dgm:cxn modelId="{CE44F647-98DA-4ED4-8250-E93C9522BA64}" type="presParOf" srcId="{2836013B-BB83-4B4D-A8B1-CE8F121BB84D}" destId="{CCBE097A-A328-45DA-8008-61B8A5499C49}" srcOrd="2" destOrd="0" presId="urn:microsoft.com/office/officeart/2005/8/layout/hierarchy2"/>
    <dgm:cxn modelId="{A1C57ED4-8204-43FC-8416-8F2C51A5211F}" type="presParOf" srcId="{CCBE097A-A328-45DA-8008-61B8A5499C49}" destId="{EFBB9E38-16DF-4345-A2ED-A29C0C5289C4}" srcOrd="0" destOrd="0" presId="urn:microsoft.com/office/officeart/2005/8/layout/hierarchy2"/>
    <dgm:cxn modelId="{B805C332-9733-4683-93CD-7B9F99F86F0D}" type="presParOf" srcId="{2836013B-BB83-4B4D-A8B1-CE8F121BB84D}" destId="{37379BA6-8DEF-441B-A4B5-72E7C71A77AB}" srcOrd="3" destOrd="0" presId="urn:microsoft.com/office/officeart/2005/8/layout/hierarchy2"/>
    <dgm:cxn modelId="{0E4FBAFC-D746-4813-9F75-B19341E2792C}" type="presParOf" srcId="{37379BA6-8DEF-441B-A4B5-72E7C71A77AB}" destId="{FFA93BCF-919A-45E2-84FF-2A9716D017D3}" srcOrd="0" destOrd="0" presId="urn:microsoft.com/office/officeart/2005/8/layout/hierarchy2"/>
    <dgm:cxn modelId="{431E6406-F0AA-4A29-B881-720C636FF4C3}" type="presParOf" srcId="{37379BA6-8DEF-441B-A4B5-72E7C71A77AB}" destId="{BF32E8D3-0A7A-47F4-9475-0F6330AE4C26}" srcOrd="1" destOrd="0" presId="urn:microsoft.com/office/officeart/2005/8/layout/hierarchy2"/>
    <dgm:cxn modelId="{D89F6036-6901-4FF1-85FF-6B8143B66C9B}" type="presParOf" srcId="{BF32E8D3-0A7A-47F4-9475-0F6330AE4C26}" destId="{A6252E0F-B259-401D-B679-A5F5974B8103}" srcOrd="0" destOrd="0" presId="urn:microsoft.com/office/officeart/2005/8/layout/hierarchy2"/>
    <dgm:cxn modelId="{5830D34D-E6CA-4AEB-9421-83929FAE8E54}" type="presParOf" srcId="{A6252E0F-B259-401D-B679-A5F5974B8103}" destId="{CF72B0C9-3A25-4A0A-A010-CE694AF5A5ED}" srcOrd="0" destOrd="0" presId="urn:microsoft.com/office/officeart/2005/8/layout/hierarchy2"/>
    <dgm:cxn modelId="{99F3F0E1-CDDA-4F57-9327-6CF4EEC1AAD6}" type="presParOf" srcId="{BF32E8D3-0A7A-47F4-9475-0F6330AE4C26}" destId="{5B4C70BF-B58D-4890-90E2-A024E248F637}" srcOrd="1" destOrd="0" presId="urn:microsoft.com/office/officeart/2005/8/layout/hierarchy2"/>
    <dgm:cxn modelId="{1EDACF61-B68B-4E04-90D4-8FFFB8880DAB}" type="presParOf" srcId="{5B4C70BF-B58D-4890-90E2-A024E248F637}" destId="{8A025657-39FB-4171-A16C-01A82D850634}" srcOrd="0" destOrd="0" presId="urn:microsoft.com/office/officeart/2005/8/layout/hierarchy2"/>
    <dgm:cxn modelId="{A80BDE36-FD0D-463F-A873-06BD76C6193D}" type="presParOf" srcId="{5B4C70BF-B58D-4890-90E2-A024E248F637}" destId="{5F91DA36-AA47-495D-B865-08DAC787E3C9}" srcOrd="1" destOrd="0" presId="urn:microsoft.com/office/officeart/2005/8/layout/hierarchy2"/>
    <dgm:cxn modelId="{87D57439-C413-4CA4-997A-5534F6E31BB6}" type="presParOf" srcId="{5F91DA36-AA47-495D-B865-08DAC787E3C9}" destId="{856AD367-FAFC-44F4-BAA0-71AFC1172E52}" srcOrd="0" destOrd="0" presId="urn:microsoft.com/office/officeart/2005/8/layout/hierarchy2"/>
    <dgm:cxn modelId="{E74A42AA-E722-48A8-893F-69517470B277}" type="presParOf" srcId="{856AD367-FAFC-44F4-BAA0-71AFC1172E52}" destId="{241999AB-E15C-456E-B48D-2EBEFD01E329}" srcOrd="0" destOrd="0" presId="urn:microsoft.com/office/officeart/2005/8/layout/hierarchy2"/>
    <dgm:cxn modelId="{9B290CC2-2969-4E71-9CCD-1EB8EF528364}" type="presParOf" srcId="{5F91DA36-AA47-495D-B865-08DAC787E3C9}" destId="{CAC32B10-0495-44AA-A0FB-4E879E5A250D}" srcOrd="1" destOrd="0" presId="urn:microsoft.com/office/officeart/2005/8/layout/hierarchy2"/>
    <dgm:cxn modelId="{2CD0B011-AACE-47B6-8D29-55BFC0051178}" type="presParOf" srcId="{CAC32B10-0495-44AA-A0FB-4E879E5A250D}" destId="{1ADA4035-2C60-4212-BEF6-080403AD4EF0}" srcOrd="0" destOrd="0" presId="urn:microsoft.com/office/officeart/2005/8/layout/hierarchy2"/>
    <dgm:cxn modelId="{DCA5A192-396F-4E89-A591-1AD2A663BF5C}" type="presParOf" srcId="{CAC32B10-0495-44AA-A0FB-4E879E5A250D}" destId="{8FD8F133-C065-4B4A-B727-4BDDC90F09F2}" srcOrd="1" destOrd="0" presId="urn:microsoft.com/office/officeart/2005/8/layout/hierarchy2"/>
    <dgm:cxn modelId="{6A0102D7-FD16-4371-B13D-5D810AD2BA9E}" type="presParOf" srcId="{5F91DA36-AA47-495D-B865-08DAC787E3C9}" destId="{2F4F37EC-78E4-45CD-9260-D10402B6DFC4}" srcOrd="2" destOrd="0" presId="urn:microsoft.com/office/officeart/2005/8/layout/hierarchy2"/>
    <dgm:cxn modelId="{D0702985-A32E-4CF1-9FB3-45665B214465}" type="presParOf" srcId="{2F4F37EC-78E4-45CD-9260-D10402B6DFC4}" destId="{F6B2C779-22D7-4760-A258-BD4551DB5112}" srcOrd="0" destOrd="0" presId="urn:microsoft.com/office/officeart/2005/8/layout/hierarchy2"/>
    <dgm:cxn modelId="{B6426154-8DE3-4DA5-9066-20C8B1184BE9}" type="presParOf" srcId="{5F91DA36-AA47-495D-B865-08DAC787E3C9}" destId="{F9892E9C-5462-49D8-9769-8A6E666F424F}" srcOrd="3" destOrd="0" presId="urn:microsoft.com/office/officeart/2005/8/layout/hierarchy2"/>
    <dgm:cxn modelId="{A5EE9C46-B809-4F12-A268-1E6DB2C9C6C5}" type="presParOf" srcId="{F9892E9C-5462-49D8-9769-8A6E666F424F}" destId="{F3B0C31A-5F32-4D8F-B82B-D68B163118D8}" srcOrd="0" destOrd="0" presId="urn:microsoft.com/office/officeart/2005/8/layout/hierarchy2"/>
    <dgm:cxn modelId="{45C1E20C-E23A-4C90-AE89-2B9575FB4795}" type="presParOf" srcId="{F9892E9C-5462-49D8-9769-8A6E666F424F}" destId="{95BB4CB6-E48C-4C03-9CDD-9AC204332B32}" srcOrd="1" destOrd="0" presId="urn:microsoft.com/office/officeart/2005/8/layout/hierarchy2"/>
    <dgm:cxn modelId="{AA45BC0D-2361-40AE-9EC9-71676D33F154}" type="presParOf" srcId="{5F91DA36-AA47-495D-B865-08DAC787E3C9}" destId="{9BA799D1-1109-4122-91C3-9C4695841696}" srcOrd="4" destOrd="0" presId="urn:microsoft.com/office/officeart/2005/8/layout/hierarchy2"/>
    <dgm:cxn modelId="{BBCFDC17-A060-420C-9603-AA709D07A432}" type="presParOf" srcId="{9BA799D1-1109-4122-91C3-9C4695841696}" destId="{593EB226-3BDF-4481-A2AE-6A5756E122EB}" srcOrd="0" destOrd="0" presId="urn:microsoft.com/office/officeart/2005/8/layout/hierarchy2"/>
    <dgm:cxn modelId="{5D14D53D-B10E-4CAA-9736-EA6AD5A8E814}" type="presParOf" srcId="{5F91DA36-AA47-495D-B865-08DAC787E3C9}" destId="{D2F2D606-D34C-43C3-8D5F-4596994EDD34}" srcOrd="5" destOrd="0" presId="urn:microsoft.com/office/officeart/2005/8/layout/hierarchy2"/>
    <dgm:cxn modelId="{27E7C376-D0D9-4BF5-B8FB-9DA1566A79BB}" type="presParOf" srcId="{D2F2D606-D34C-43C3-8D5F-4596994EDD34}" destId="{372B3983-125C-42F7-8252-C0A4985D82B1}" srcOrd="0" destOrd="0" presId="urn:microsoft.com/office/officeart/2005/8/layout/hierarchy2"/>
    <dgm:cxn modelId="{4596E61D-3FF1-4F82-9DF2-A70CB8459E9A}" type="presParOf" srcId="{D2F2D606-D34C-43C3-8D5F-4596994EDD34}" destId="{6FF540F0-0932-4B36-8BA3-81C9ED8B4897}" srcOrd="1" destOrd="0" presId="urn:microsoft.com/office/officeart/2005/8/layout/hierarchy2"/>
    <dgm:cxn modelId="{3D743FBC-1D40-40BB-98CC-E17A055593E0}" type="presParOf" srcId="{BF32E8D3-0A7A-47F4-9475-0F6330AE4C26}" destId="{62FF1B95-6D37-432F-A77D-E6358BD98A71}" srcOrd="2" destOrd="0" presId="urn:microsoft.com/office/officeart/2005/8/layout/hierarchy2"/>
    <dgm:cxn modelId="{638A9B5E-D319-46F9-B00E-DB74CB40256C}" type="presParOf" srcId="{62FF1B95-6D37-432F-A77D-E6358BD98A71}" destId="{AD1C266F-6A31-4DDF-9AFE-E5E7222D3851}" srcOrd="0" destOrd="0" presId="urn:microsoft.com/office/officeart/2005/8/layout/hierarchy2"/>
    <dgm:cxn modelId="{DFE98B03-6051-4BCD-AD6A-4641B9C9FE9A}" type="presParOf" srcId="{BF32E8D3-0A7A-47F4-9475-0F6330AE4C26}" destId="{8F7B92AF-A9BE-40EF-930B-C215C7733F23}" srcOrd="3" destOrd="0" presId="urn:microsoft.com/office/officeart/2005/8/layout/hierarchy2"/>
    <dgm:cxn modelId="{3577178D-59A6-4A16-8435-4CF45815A4AC}" type="presParOf" srcId="{8F7B92AF-A9BE-40EF-930B-C215C7733F23}" destId="{A8291943-30B5-42C5-BCC9-8B7F6DAA6093}" srcOrd="0" destOrd="0" presId="urn:microsoft.com/office/officeart/2005/8/layout/hierarchy2"/>
    <dgm:cxn modelId="{53C31903-2903-4196-A9A1-55EE436C0DB7}" type="presParOf" srcId="{8F7B92AF-A9BE-40EF-930B-C215C7733F23}" destId="{E8BF973F-A833-4254-A6BC-1379C27C50CA}" srcOrd="1" destOrd="0" presId="urn:microsoft.com/office/officeart/2005/8/layout/hierarchy2"/>
    <dgm:cxn modelId="{60B43290-D1F8-4692-B6DD-F16325AE3874}" type="presParOf" srcId="{E8BF973F-A833-4254-A6BC-1379C27C50CA}" destId="{5AC1D62A-FB70-4C67-A0F4-FB4F9392648B}" srcOrd="0" destOrd="0" presId="urn:microsoft.com/office/officeart/2005/8/layout/hierarchy2"/>
    <dgm:cxn modelId="{1655722D-D3E1-4CE5-9501-BAC224CFEB4F}" type="presParOf" srcId="{5AC1D62A-FB70-4C67-A0F4-FB4F9392648B}" destId="{FCC431D7-A4EC-42FB-9B23-EA43ED7A70BD}" srcOrd="0" destOrd="0" presId="urn:microsoft.com/office/officeart/2005/8/layout/hierarchy2"/>
    <dgm:cxn modelId="{AAE76981-9D56-4B43-B9F6-2C9AB60D522D}" type="presParOf" srcId="{E8BF973F-A833-4254-A6BC-1379C27C50CA}" destId="{939998C2-903D-43AA-91E8-9709BB5FCFBE}" srcOrd="1" destOrd="0" presId="urn:microsoft.com/office/officeart/2005/8/layout/hierarchy2"/>
    <dgm:cxn modelId="{3E223719-E3C5-4992-9D30-2BF31204DC2B}" type="presParOf" srcId="{939998C2-903D-43AA-91E8-9709BB5FCFBE}" destId="{8B3BA243-0A3B-4300-BAAA-B807771E0224}" srcOrd="0" destOrd="0" presId="urn:microsoft.com/office/officeart/2005/8/layout/hierarchy2"/>
    <dgm:cxn modelId="{3C6AE043-0FEE-4169-91F6-BF46DB82F9D5}" type="presParOf" srcId="{939998C2-903D-43AA-91E8-9709BB5FCFBE}" destId="{CEFE9359-9648-4912-8CF1-39EA52C4737F}" srcOrd="1" destOrd="0" presId="urn:microsoft.com/office/officeart/2005/8/layout/hierarchy2"/>
    <dgm:cxn modelId="{6EEDAEF9-C2AA-49F2-AD93-82B5F92546E3}" type="presParOf" srcId="{E8BF973F-A833-4254-A6BC-1379C27C50CA}" destId="{5FC6D9E7-69F8-4B0A-A352-ECD27A83825A}" srcOrd="2" destOrd="0" presId="urn:microsoft.com/office/officeart/2005/8/layout/hierarchy2"/>
    <dgm:cxn modelId="{DB6036AE-C92B-4DA3-987F-71EA2EDF04A8}" type="presParOf" srcId="{5FC6D9E7-69F8-4B0A-A352-ECD27A83825A}" destId="{6E66AB1C-2C49-456C-ADF9-CE230A0402D0}" srcOrd="0" destOrd="0" presId="urn:microsoft.com/office/officeart/2005/8/layout/hierarchy2"/>
    <dgm:cxn modelId="{51FD3D24-4D69-49D4-9762-A7D257D83F45}" type="presParOf" srcId="{E8BF973F-A833-4254-A6BC-1379C27C50CA}" destId="{A71853AD-29AA-4C3F-9914-E4C86120FD97}" srcOrd="3" destOrd="0" presId="urn:microsoft.com/office/officeart/2005/8/layout/hierarchy2"/>
    <dgm:cxn modelId="{AA43F22D-FA73-4559-978F-6D00FE5BE9D4}" type="presParOf" srcId="{A71853AD-29AA-4C3F-9914-E4C86120FD97}" destId="{124B8A3C-B1B0-4EFB-A9D2-ED8013DC7199}" srcOrd="0" destOrd="0" presId="urn:microsoft.com/office/officeart/2005/8/layout/hierarchy2"/>
    <dgm:cxn modelId="{EBBA4B1F-D7F8-43D4-B348-6BB557D02DF2}" type="presParOf" srcId="{A71853AD-29AA-4C3F-9914-E4C86120FD97}" destId="{D2D16481-086D-4C21-A968-A70F3E671EF9}" srcOrd="1" destOrd="0" presId="urn:microsoft.com/office/officeart/2005/8/layout/hierarchy2"/>
    <dgm:cxn modelId="{451D41CB-AB46-4714-BC2C-9E513F97FE5E}" type="presParOf" srcId="{E8BF973F-A833-4254-A6BC-1379C27C50CA}" destId="{E70D854E-8080-45EA-BCFF-31144620A878}" srcOrd="4" destOrd="0" presId="urn:microsoft.com/office/officeart/2005/8/layout/hierarchy2"/>
    <dgm:cxn modelId="{4D2C735F-3394-4C23-8C79-6BB4AAA11F26}" type="presParOf" srcId="{E70D854E-8080-45EA-BCFF-31144620A878}" destId="{E34D27DB-4B13-4000-A993-55A76E088639}" srcOrd="0" destOrd="0" presId="urn:microsoft.com/office/officeart/2005/8/layout/hierarchy2"/>
    <dgm:cxn modelId="{812DC5AE-9BD5-4E86-AAB6-C42A38ACD3E4}" type="presParOf" srcId="{E8BF973F-A833-4254-A6BC-1379C27C50CA}" destId="{C66E483E-F361-4A5E-B986-F8CEE5EC0827}" srcOrd="5" destOrd="0" presId="urn:microsoft.com/office/officeart/2005/8/layout/hierarchy2"/>
    <dgm:cxn modelId="{22A941AE-614B-48A7-BB6F-A1AA2D610A61}" type="presParOf" srcId="{C66E483E-F361-4A5E-B986-F8CEE5EC0827}" destId="{6075489B-5940-497B-9294-633308A2A0BD}" srcOrd="0" destOrd="0" presId="urn:microsoft.com/office/officeart/2005/8/layout/hierarchy2"/>
    <dgm:cxn modelId="{F59C6BE4-12A0-45DC-BB10-6FD07D945C4C}" type="presParOf" srcId="{C66E483E-F361-4A5E-B986-F8CEE5EC0827}" destId="{5D62A23E-870A-4F2A-A232-E57387918504}" srcOrd="1" destOrd="0" presId="urn:microsoft.com/office/officeart/2005/8/layout/hierarchy2"/>
    <dgm:cxn modelId="{04473A9C-7BA4-4F6A-A658-F6054FF313C9}" type="presParOf" srcId="{BF32E8D3-0A7A-47F4-9475-0F6330AE4C26}" destId="{45BD0619-0D54-4046-82CB-DE03B14D99E3}" srcOrd="4" destOrd="0" presId="urn:microsoft.com/office/officeart/2005/8/layout/hierarchy2"/>
    <dgm:cxn modelId="{6D10592F-5125-4987-B135-C93451A83C4E}" type="presParOf" srcId="{45BD0619-0D54-4046-82CB-DE03B14D99E3}" destId="{82872A9C-199B-4C17-AF92-529790BF2556}" srcOrd="0" destOrd="0" presId="urn:microsoft.com/office/officeart/2005/8/layout/hierarchy2"/>
    <dgm:cxn modelId="{10873C0B-387E-4DD2-B5CB-E2785BD6FEDB}" type="presParOf" srcId="{BF32E8D3-0A7A-47F4-9475-0F6330AE4C26}" destId="{9DE26B18-0FE5-4B4B-99D6-0F15B3B9BD90}" srcOrd="5" destOrd="0" presId="urn:microsoft.com/office/officeart/2005/8/layout/hierarchy2"/>
    <dgm:cxn modelId="{88FEC58C-1183-4CAD-AEAF-BDC4225074EC}" type="presParOf" srcId="{9DE26B18-0FE5-4B4B-99D6-0F15B3B9BD90}" destId="{D7EA5790-B178-47FE-9C01-A66C6D42B9F8}" srcOrd="0" destOrd="0" presId="urn:microsoft.com/office/officeart/2005/8/layout/hierarchy2"/>
    <dgm:cxn modelId="{2F89D2A5-0A4A-4EDE-85C8-96C0C6D04528}" type="presParOf" srcId="{9DE26B18-0FE5-4B4B-99D6-0F15B3B9BD90}" destId="{08D3FA03-3074-4FCF-882B-380669F964AB}" srcOrd="1" destOrd="0" presId="urn:microsoft.com/office/officeart/2005/8/layout/hierarchy2"/>
    <dgm:cxn modelId="{074D37B2-B097-45E3-A650-BAD83A738F5F}" type="presParOf" srcId="{08D3FA03-3074-4FCF-882B-380669F964AB}" destId="{8E1370CB-93F8-444F-9967-D936788E3695}" srcOrd="0" destOrd="0" presId="urn:microsoft.com/office/officeart/2005/8/layout/hierarchy2"/>
    <dgm:cxn modelId="{D09FDE71-EB07-44BE-B54D-74A980A93BBD}" type="presParOf" srcId="{8E1370CB-93F8-444F-9967-D936788E3695}" destId="{EFF2473B-71BC-48BA-85EC-BCE456195BC6}" srcOrd="0" destOrd="0" presId="urn:microsoft.com/office/officeart/2005/8/layout/hierarchy2"/>
    <dgm:cxn modelId="{DE69F9AD-3A6F-4D2F-A3D1-1311870EEF8E}" type="presParOf" srcId="{08D3FA03-3074-4FCF-882B-380669F964AB}" destId="{32FCABA9-E08B-41C3-8B2C-06D5EB4D66FA}" srcOrd="1" destOrd="0" presId="urn:microsoft.com/office/officeart/2005/8/layout/hierarchy2"/>
    <dgm:cxn modelId="{1AA6BD54-2C8B-4038-8D24-1DEF134D42E4}" type="presParOf" srcId="{32FCABA9-E08B-41C3-8B2C-06D5EB4D66FA}" destId="{9DC7CF2B-1804-4041-BD69-E2304806DB27}" srcOrd="0" destOrd="0" presId="urn:microsoft.com/office/officeart/2005/8/layout/hierarchy2"/>
    <dgm:cxn modelId="{475E3648-0B59-4B2E-9873-22C03F7B444F}" type="presParOf" srcId="{32FCABA9-E08B-41C3-8B2C-06D5EB4D66FA}" destId="{D9F32C28-2E2F-45D1-9113-E8645165CC60}" srcOrd="1" destOrd="0" presId="urn:microsoft.com/office/officeart/2005/8/layout/hierarchy2"/>
    <dgm:cxn modelId="{C08ACEE9-BFB8-41B5-9308-462A4F227867}" type="presParOf" srcId="{08D3FA03-3074-4FCF-882B-380669F964AB}" destId="{9D1EE0C2-8EE5-4F39-93CC-864F4CC3BCC6}" srcOrd="2" destOrd="0" presId="urn:microsoft.com/office/officeart/2005/8/layout/hierarchy2"/>
    <dgm:cxn modelId="{6F70B8F4-646E-4791-9680-514BEEE75E95}" type="presParOf" srcId="{9D1EE0C2-8EE5-4F39-93CC-864F4CC3BCC6}" destId="{2DE8C733-1982-4BC3-A837-59E7A307940E}" srcOrd="0" destOrd="0" presId="urn:microsoft.com/office/officeart/2005/8/layout/hierarchy2"/>
    <dgm:cxn modelId="{50E4211B-4EC9-48CF-9ED5-A12EF46DABD6}" type="presParOf" srcId="{08D3FA03-3074-4FCF-882B-380669F964AB}" destId="{6C9BA007-2D90-4926-A5C2-0399B61F0DB5}" srcOrd="3" destOrd="0" presId="urn:microsoft.com/office/officeart/2005/8/layout/hierarchy2"/>
    <dgm:cxn modelId="{55D45D91-AF6D-4745-9C9C-9E037088CEAB}" type="presParOf" srcId="{6C9BA007-2D90-4926-A5C2-0399B61F0DB5}" destId="{20D586A9-EDF2-4899-BBF0-A1F3A496D4A5}" srcOrd="0" destOrd="0" presId="urn:microsoft.com/office/officeart/2005/8/layout/hierarchy2"/>
    <dgm:cxn modelId="{3DEC24D1-DE5A-4B9E-81B4-D259EC652EE1}" type="presParOf" srcId="{6C9BA007-2D90-4926-A5C2-0399B61F0DB5}" destId="{9146F158-291A-4C0B-95C7-A03D4E2B1C71}" srcOrd="1" destOrd="0" presId="urn:microsoft.com/office/officeart/2005/8/layout/hierarchy2"/>
    <dgm:cxn modelId="{2EB0E647-DD0B-4CE8-AE07-87188CCBFF68}" type="presParOf" srcId="{08D3FA03-3074-4FCF-882B-380669F964AB}" destId="{D13A4E2C-792A-4797-A676-79017289C004}" srcOrd="4" destOrd="0" presId="urn:microsoft.com/office/officeart/2005/8/layout/hierarchy2"/>
    <dgm:cxn modelId="{B94C85E3-38F8-4C02-9478-80A4363AB3DE}" type="presParOf" srcId="{D13A4E2C-792A-4797-A676-79017289C004}" destId="{9AAA81AA-DF85-477F-9C07-5A702C952A8A}" srcOrd="0" destOrd="0" presId="urn:microsoft.com/office/officeart/2005/8/layout/hierarchy2"/>
    <dgm:cxn modelId="{08FD5617-E539-4F65-9492-48E075E134E0}" type="presParOf" srcId="{08D3FA03-3074-4FCF-882B-380669F964AB}" destId="{3571541B-AA70-4996-8046-6A44CAD630C7}" srcOrd="5" destOrd="0" presId="urn:microsoft.com/office/officeart/2005/8/layout/hierarchy2"/>
    <dgm:cxn modelId="{E585E7EE-F0D5-4214-96B2-EF1B3D07364C}" type="presParOf" srcId="{3571541B-AA70-4996-8046-6A44CAD630C7}" destId="{427FF2AB-787A-4231-92EA-8E008CD340BA}" srcOrd="0" destOrd="0" presId="urn:microsoft.com/office/officeart/2005/8/layout/hierarchy2"/>
    <dgm:cxn modelId="{FE59F0BB-DBFA-4B71-8296-BDE3BF1BFB3F}" type="presParOf" srcId="{3571541B-AA70-4996-8046-6A44CAD630C7}" destId="{FB01DE99-B111-45C6-A80C-4CB63FF0052B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817D6F-AD44-4A52-A556-08718A0DB57F}">
      <dsp:nvSpPr>
        <dsp:cNvPr id="0" name=""/>
        <dsp:cNvSpPr/>
      </dsp:nvSpPr>
      <dsp:spPr>
        <a:xfrm>
          <a:off x="0" y="2097024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1</a:t>
          </a:r>
        </a:p>
      </dsp:txBody>
      <dsp:txXfrm>
        <a:off x="7328" y="2104352"/>
        <a:ext cx="485717" cy="235530"/>
      </dsp:txXfrm>
    </dsp:sp>
    <dsp:sp modelId="{BB2524A6-5A7F-41C7-AD01-0CC17F262024}">
      <dsp:nvSpPr>
        <dsp:cNvPr id="0" name=""/>
        <dsp:cNvSpPr/>
      </dsp:nvSpPr>
      <dsp:spPr>
        <a:xfrm rot="17864862">
          <a:off x="115431" y="1581740"/>
          <a:ext cx="1440592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498579" y="2911"/>
              </a:lnTo>
            </a:path>
            <a:path>
              <a:moveTo>
                <a:pt x="942012" y="2911"/>
              </a:moveTo>
              <a:lnTo>
                <a:pt x="1440592" y="2911"/>
              </a:lnTo>
            </a:path>
          </a:pathLst>
        </a:custGeom>
        <a:noFill/>
        <a:ln w="6350" cap="flat" cmpd="sng" algn="ctr">
          <a:solidFill>
            <a:schemeClr val="accent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Do not hire Business Analyst</a:t>
          </a:r>
        </a:p>
      </dsp:txBody>
      <dsp:txXfrm>
        <a:off x="614011" y="1404577"/>
        <a:ext cx="443432" cy="360148"/>
      </dsp:txXfrm>
    </dsp:sp>
    <dsp:sp modelId="{543A386C-6C7B-403F-9E36-016835E46758}">
      <dsp:nvSpPr>
        <dsp:cNvPr id="0" name=""/>
        <dsp:cNvSpPr/>
      </dsp:nvSpPr>
      <dsp:spPr>
        <a:xfrm>
          <a:off x="1171082" y="82209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3</a:t>
          </a:r>
        </a:p>
      </dsp:txBody>
      <dsp:txXfrm>
        <a:off x="1178410" y="829419"/>
        <a:ext cx="485717" cy="235530"/>
      </dsp:txXfrm>
    </dsp:sp>
    <dsp:sp modelId="{2234839A-7F72-4BDC-9662-67596C1E5DDE}">
      <dsp:nvSpPr>
        <dsp:cNvPr id="0" name=""/>
        <dsp:cNvSpPr/>
      </dsp:nvSpPr>
      <dsp:spPr>
        <a:xfrm rot="20687066">
          <a:off x="1629240" y="628215"/>
          <a:ext cx="2408508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974693" y="2911"/>
              </a:lnTo>
            </a:path>
            <a:path>
              <a:moveTo>
                <a:pt x="1433814" y="2911"/>
              </a:moveTo>
              <a:lnTo>
                <a:pt x="2408508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Apartment Building</a:t>
          </a:r>
        </a:p>
      </dsp:txBody>
      <dsp:txXfrm>
        <a:off x="2603934" y="330063"/>
        <a:ext cx="459121" cy="602127"/>
      </dsp:txXfrm>
    </dsp:sp>
    <dsp:sp modelId="{DB1ECD12-944C-43D7-B454-E6C14EE64881}">
      <dsp:nvSpPr>
        <dsp:cNvPr id="0" name=""/>
        <dsp:cNvSpPr/>
      </dsp:nvSpPr>
      <dsp:spPr>
        <a:xfrm>
          <a:off x="3995534" y="189975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6</a:t>
          </a:r>
          <a:endParaRPr lang="en-US" sz="900" kern="1200"/>
        </a:p>
      </dsp:txBody>
      <dsp:txXfrm>
        <a:off x="4002862" y="197303"/>
        <a:ext cx="485717" cy="235530"/>
      </dsp:txXfrm>
    </dsp:sp>
    <dsp:sp modelId="{03C39051-A168-47AF-B876-DA0DAF578EE8}">
      <dsp:nvSpPr>
        <dsp:cNvPr id="0" name=""/>
        <dsp:cNvSpPr/>
      </dsp:nvSpPr>
      <dsp:spPr>
        <a:xfrm rot="21173919">
          <a:off x="4490013" y="217169"/>
          <a:ext cx="153670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67858" y="2911"/>
              </a:lnTo>
            </a:path>
            <a:path>
              <a:moveTo>
                <a:pt x="968841" y="2911"/>
              </a:moveTo>
              <a:lnTo>
                <a:pt x="153670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</dsp:txBody>
      <dsp:txXfrm>
        <a:off x="5057872" y="27993"/>
        <a:ext cx="400982" cy="384175"/>
      </dsp:txXfrm>
    </dsp:sp>
    <dsp:sp modelId="{71620E72-9755-481D-8400-5F7D92E05BD1}">
      <dsp:nvSpPr>
        <dsp:cNvPr id="0" name=""/>
        <dsp:cNvSpPr/>
      </dsp:nvSpPr>
      <dsp:spPr>
        <a:xfrm>
          <a:off x="6020819" y="0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$3</a:t>
          </a:r>
          <a:r>
            <a:rPr lang="en-US" altLang="zh-CN" sz="900" b="0" i="0" u="none" kern="1200"/>
            <a:t>1</a:t>
          </a:r>
          <a:r>
            <a:rPr lang="en-US" sz="900" b="0" i="0" u="none" kern="1200"/>
            <a:t>0,000</a:t>
          </a:r>
          <a:endParaRPr lang="en-US" sz="900" kern="1200"/>
        </a:p>
      </dsp:txBody>
      <dsp:txXfrm>
        <a:off x="6028147" y="7328"/>
        <a:ext cx="485717" cy="235530"/>
      </dsp:txXfrm>
    </dsp:sp>
    <dsp:sp modelId="{90B5ADE1-76EB-465F-A336-C38490DEDF1C}">
      <dsp:nvSpPr>
        <dsp:cNvPr id="0" name=""/>
        <dsp:cNvSpPr/>
      </dsp:nvSpPr>
      <dsp:spPr>
        <a:xfrm rot="164831">
          <a:off x="4495033" y="348605"/>
          <a:ext cx="152093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97678" y="2911"/>
              </a:lnTo>
            </a:path>
            <a:path>
              <a:moveTo>
                <a:pt x="923252" y="2911"/>
              </a:moveTo>
              <a:lnTo>
                <a:pt x="152093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 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92711" y="161400"/>
        <a:ext cx="325574" cy="380232"/>
      </dsp:txXfrm>
    </dsp:sp>
    <dsp:sp modelId="{C0AF1216-36BC-4E13-9FC2-0A455B0D2AD5}">
      <dsp:nvSpPr>
        <dsp:cNvPr id="0" name=""/>
        <dsp:cNvSpPr/>
      </dsp:nvSpPr>
      <dsp:spPr>
        <a:xfrm>
          <a:off x="6015090" y="26287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19</a:t>
          </a:r>
          <a:r>
            <a:rPr lang="en-US" sz="900" b="0" i="0" u="none" kern="1200"/>
            <a:t>0,000</a:t>
          </a:r>
          <a:endParaRPr lang="en-US" sz="900" kern="1200"/>
        </a:p>
      </dsp:txBody>
      <dsp:txXfrm>
        <a:off x="6022418" y="270199"/>
        <a:ext cx="485717" cy="235530"/>
      </dsp:txXfrm>
    </dsp:sp>
    <dsp:sp modelId="{5F786418-D004-40EC-933F-1557C15E86C2}">
      <dsp:nvSpPr>
        <dsp:cNvPr id="0" name=""/>
        <dsp:cNvSpPr/>
      </dsp:nvSpPr>
      <dsp:spPr>
        <a:xfrm rot="736942">
          <a:off x="4478099" y="477666"/>
          <a:ext cx="1556055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11481" y="2911"/>
              </a:lnTo>
            </a:path>
            <a:path>
              <a:moveTo>
                <a:pt x="944574" y="2911"/>
              </a:moveTo>
              <a:lnTo>
                <a:pt x="1556055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089580" y="286071"/>
        <a:ext cx="333093" cy="389013"/>
      </dsp:txXfrm>
    </dsp:sp>
    <dsp:sp modelId="{E6BC9C15-8BE6-483E-9A89-CA11311D4A78}">
      <dsp:nvSpPr>
        <dsp:cNvPr id="0" name=""/>
        <dsp:cNvSpPr/>
      </dsp:nvSpPr>
      <dsp:spPr>
        <a:xfrm>
          <a:off x="6016346" y="520994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120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3674" y="528322"/>
        <a:ext cx="485717" cy="235530"/>
      </dsp:txXfrm>
    </dsp:sp>
    <dsp:sp modelId="{DACAFF4A-8E6F-47F2-A5DC-1E957A4F3441}">
      <dsp:nvSpPr>
        <dsp:cNvPr id="0" name=""/>
        <dsp:cNvSpPr/>
      </dsp:nvSpPr>
      <dsp:spPr>
        <a:xfrm rot="21446053">
          <a:off x="1670293" y="892368"/>
          <a:ext cx="2318922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1019963" y="2911"/>
              </a:lnTo>
            </a:path>
            <a:path>
              <a:moveTo>
                <a:pt x="1298958" y="2911"/>
              </a:moveTo>
              <a:lnTo>
                <a:pt x="2318922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Office Building</a:t>
          </a:r>
        </a:p>
      </dsp:txBody>
      <dsp:txXfrm>
        <a:off x="2690256" y="714114"/>
        <a:ext cx="278995" cy="362331"/>
      </dsp:txXfrm>
    </dsp:sp>
    <dsp:sp modelId="{F4490D86-4BCF-47A5-8195-82E786A757F0}">
      <dsp:nvSpPr>
        <dsp:cNvPr id="0" name=""/>
        <dsp:cNvSpPr/>
      </dsp:nvSpPr>
      <dsp:spPr>
        <a:xfrm>
          <a:off x="3988053" y="71828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7</a:t>
          </a:r>
          <a:endParaRPr lang="en-US" sz="900" kern="1200"/>
        </a:p>
      </dsp:txBody>
      <dsp:txXfrm>
        <a:off x="3995381" y="725609"/>
        <a:ext cx="485717" cy="235530"/>
      </dsp:txXfrm>
    </dsp:sp>
    <dsp:sp modelId="{7CDA4973-3D1F-4508-99F8-8D7E0B6479A3}">
      <dsp:nvSpPr>
        <dsp:cNvPr id="0" name=""/>
        <dsp:cNvSpPr/>
      </dsp:nvSpPr>
      <dsp:spPr>
        <a:xfrm rot="166052">
          <a:off x="4487530" y="877573"/>
          <a:ext cx="1537172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22074" y="2911"/>
              </a:lnTo>
            </a:path>
            <a:path>
              <a:moveTo>
                <a:pt x="915098" y="2911"/>
              </a:moveTo>
              <a:lnTo>
                <a:pt x="1537172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</dsp:txBody>
      <dsp:txXfrm>
        <a:off x="5109604" y="688338"/>
        <a:ext cx="293023" cy="384293"/>
      </dsp:txXfrm>
    </dsp:sp>
    <dsp:sp modelId="{41A10ED3-9830-4024-9A0A-EE12435AE656}">
      <dsp:nvSpPr>
        <dsp:cNvPr id="0" name=""/>
        <dsp:cNvSpPr/>
      </dsp:nvSpPr>
      <dsp:spPr>
        <a:xfrm>
          <a:off x="6023806" y="79250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42</a:t>
          </a:r>
          <a:r>
            <a:rPr lang="en-US" sz="900" b="0" i="0" u="none" kern="1200"/>
            <a:t>0,000</a:t>
          </a:r>
          <a:endParaRPr lang="en-US" sz="900" kern="1200"/>
        </a:p>
      </dsp:txBody>
      <dsp:txXfrm>
        <a:off x="6031134" y="799829"/>
        <a:ext cx="485717" cy="235530"/>
      </dsp:txXfrm>
    </dsp:sp>
    <dsp:sp modelId="{6959B8C7-7AC1-4B70-8A89-D8ACA139A7AE}">
      <dsp:nvSpPr>
        <dsp:cNvPr id="0" name=""/>
        <dsp:cNvSpPr/>
      </dsp:nvSpPr>
      <dsp:spPr>
        <a:xfrm rot="730357">
          <a:off x="4470834" y="1005452"/>
          <a:ext cx="1564935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51648" y="2911"/>
              </a:lnTo>
            </a:path>
            <a:path>
              <a:moveTo>
                <a:pt x="913286" y="2911"/>
              </a:moveTo>
              <a:lnTo>
                <a:pt x="1564935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 </a:t>
          </a:r>
        </a:p>
      </dsp:txBody>
      <dsp:txXfrm>
        <a:off x="5122483" y="812747"/>
        <a:ext cx="261637" cy="391233"/>
      </dsp:txXfrm>
    </dsp:sp>
    <dsp:sp modelId="{B58A1E0A-DD19-400F-BF54-2252E25E9793}">
      <dsp:nvSpPr>
        <dsp:cNvPr id="0" name=""/>
        <dsp:cNvSpPr/>
      </dsp:nvSpPr>
      <dsp:spPr>
        <a:xfrm>
          <a:off x="6018177" y="1048260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32</a:t>
          </a:r>
          <a:r>
            <a:rPr lang="en-US" sz="900" b="0" i="0" u="none" kern="1200"/>
            <a:t>0,000</a:t>
          </a:r>
          <a:endParaRPr lang="en-US" sz="900" kern="1200"/>
        </a:p>
      </dsp:txBody>
      <dsp:txXfrm>
        <a:off x="6025505" y="1055588"/>
        <a:ext cx="485717" cy="235530"/>
      </dsp:txXfrm>
    </dsp:sp>
    <dsp:sp modelId="{66B6C410-A83D-493B-AD39-6E1E47C411B5}">
      <dsp:nvSpPr>
        <dsp:cNvPr id="0" name=""/>
        <dsp:cNvSpPr/>
      </dsp:nvSpPr>
      <dsp:spPr>
        <a:xfrm rot="1290421">
          <a:off x="4431486" y="1140275"/>
          <a:ext cx="163557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61894" y="2911"/>
              </a:lnTo>
            </a:path>
            <a:path>
              <a:moveTo>
                <a:pt x="973675" y="2911"/>
              </a:moveTo>
              <a:lnTo>
                <a:pt x="163557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093381" y="938741"/>
        <a:ext cx="311780" cy="408892"/>
      </dsp:txXfrm>
    </dsp:sp>
    <dsp:sp modelId="{F226DFC6-CD6C-4E7B-B38C-81D855A51B13}">
      <dsp:nvSpPr>
        <dsp:cNvPr id="0" name=""/>
        <dsp:cNvSpPr/>
      </dsp:nvSpPr>
      <dsp:spPr>
        <a:xfrm>
          <a:off x="6010116" y="1317906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8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17444" y="1325234"/>
        <a:ext cx="485717" cy="235530"/>
      </dsp:txXfrm>
    </dsp:sp>
    <dsp:sp modelId="{0F145BA9-AA7E-455D-8C83-E0F59CF38BAB}">
      <dsp:nvSpPr>
        <dsp:cNvPr id="0" name=""/>
        <dsp:cNvSpPr/>
      </dsp:nvSpPr>
      <dsp:spPr>
        <a:xfrm rot="1354745">
          <a:off x="1575440" y="1425240"/>
          <a:ext cx="2505311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1072586" y="2911"/>
              </a:lnTo>
            </a:path>
            <a:path>
              <a:moveTo>
                <a:pt x="1432724" y="2911"/>
              </a:moveTo>
              <a:lnTo>
                <a:pt x="2505311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Warehouse</a:t>
          </a:r>
        </a:p>
      </dsp:txBody>
      <dsp:txXfrm>
        <a:off x="2648026" y="1287228"/>
        <a:ext cx="360138" cy="281847"/>
      </dsp:txXfrm>
    </dsp:sp>
    <dsp:sp modelId="{B181FD80-43F5-4AB1-ADC3-6811670233F3}">
      <dsp:nvSpPr>
        <dsp:cNvPr id="0" name=""/>
        <dsp:cNvSpPr/>
      </dsp:nvSpPr>
      <dsp:spPr>
        <a:xfrm>
          <a:off x="3984736" y="1784026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8</a:t>
          </a:r>
          <a:endParaRPr lang="en-US" sz="900" kern="1200"/>
        </a:p>
      </dsp:txBody>
      <dsp:txXfrm>
        <a:off x="3992064" y="1791354"/>
        <a:ext cx="485717" cy="235530"/>
      </dsp:txXfrm>
    </dsp:sp>
    <dsp:sp modelId="{D69DA898-7D1A-4FEB-99CB-C669E8105167}">
      <dsp:nvSpPr>
        <dsp:cNvPr id="0" name=""/>
        <dsp:cNvSpPr/>
      </dsp:nvSpPr>
      <dsp:spPr>
        <a:xfrm rot="21210870">
          <a:off x="4480188" y="1819354"/>
          <a:ext cx="1537886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22363" y="2911"/>
              </a:lnTo>
            </a:path>
            <a:path>
              <a:moveTo>
                <a:pt x="915522" y="2911"/>
              </a:moveTo>
              <a:lnTo>
                <a:pt x="1537886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</dsp:txBody>
      <dsp:txXfrm>
        <a:off x="5102551" y="1630030"/>
        <a:ext cx="293159" cy="384471"/>
      </dsp:txXfrm>
    </dsp:sp>
    <dsp:sp modelId="{4F102353-4E3C-470B-A831-C9332F4D84F9}">
      <dsp:nvSpPr>
        <dsp:cNvPr id="0" name=""/>
        <dsp:cNvSpPr/>
      </dsp:nvSpPr>
      <dsp:spPr>
        <a:xfrm>
          <a:off x="6013153" y="1610319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3</a:t>
          </a:r>
          <a:r>
            <a:rPr lang="en-US" sz="900" b="0" i="0" u="none" kern="1200"/>
            <a:t>40,000</a:t>
          </a:r>
          <a:endParaRPr lang="en-US" sz="900" kern="1200"/>
        </a:p>
      </dsp:txBody>
      <dsp:txXfrm>
        <a:off x="6020481" y="1617647"/>
        <a:ext cx="485717" cy="235530"/>
      </dsp:txXfrm>
    </dsp:sp>
    <dsp:sp modelId="{F71E58EA-0CDA-47F6-A95B-E22E0F5ED500}">
      <dsp:nvSpPr>
        <dsp:cNvPr id="0" name=""/>
        <dsp:cNvSpPr/>
      </dsp:nvSpPr>
      <dsp:spPr>
        <a:xfrm rot="181866">
          <a:off x="4484040" y="1946593"/>
          <a:ext cx="1527484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36054" y="2911"/>
              </a:lnTo>
            </a:path>
            <a:path>
              <a:moveTo>
                <a:pt x="891430" y="2911"/>
              </a:moveTo>
              <a:lnTo>
                <a:pt x="1527484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 </a:t>
          </a:r>
        </a:p>
      </dsp:txBody>
      <dsp:txXfrm>
        <a:off x="5120094" y="1758569"/>
        <a:ext cx="255376" cy="381871"/>
      </dsp:txXfrm>
    </dsp:sp>
    <dsp:sp modelId="{0E7BB32D-EBB9-4F40-BFB2-8E5067399547}">
      <dsp:nvSpPr>
        <dsp:cNvPr id="0" name=""/>
        <dsp:cNvSpPr/>
      </dsp:nvSpPr>
      <dsp:spPr>
        <a:xfrm>
          <a:off x="6010456" y="1864796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21</a:t>
          </a:r>
          <a:r>
            <a:rPr lang="en-US" sz="900" b="0" i="0" u="none" kern="1200"/>
            <a:t>0,000</a:t>
          </a:r>
          <a:endParaRPr lang="en-US" sz="900" kern="1200"/>
        </a:p>
      </dsp:txBody>
      <dsp:txXfrm>
        <a:off x="6017784" y="1872124"/>
        <a:ext cx="485717" cy="235530"/>
      </dsp:txXfrm>
    </dsp:sp>
    <dsp:sp modelId="{3B5C78A4-0160-4B99-AAA4-0DA3D88D23BF}">
      <dsp:nvSpPr>
        <dsp:cNvPr id="0" name=""/>
        <dsp:cNvSpPr/>
      </dsp:nvSpPr>
      <dsp:spPr>
        <a:xfrm rot="731150">
          <a:off x="4467487" y="2071287"/>
          <a:ext cx="156411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14649" y="2911"/>
              </a:lnTo>
            </a:path>
            <a:path>
              <a:moveTo>
                <a:pt x="949468" y="2911"/>
              </a:moveTo>
              <a:lnTo>
                <a:pt x="156411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082137" y="1878684"/>
        <a:ext cx="334818" cy="391029"/>
      </dsp:txXfrm>
    </dsp:sp>
    <dsp:sp modelId="{919F03E3-9F40-45A3-9741-0A8DBDA2FE8A}">
      <dsp:nvSpPr>
        <dsp:cNvPr id="0" name=""/>
        <dsp:cNvSpPr/>
      </dsp:nvSpPr>
      <dsp:spPr>
        <a:xfrm>
          <a:off x="6013984" y="2114185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22</a:t>
          </a:r>
          <a:r>
            <a:rPr lang="en-US" sz="900" b="0" i="0" u="none" kern="1200"/>
            <a:t>0,000</a:t>
          </a:r>
          <a:endParaRPr lang="en-US" sz="900" kern="1200"/>
        </a:p>
      </dsp:txBody>
      <dsp:txXfrm>
        <a:off x="6021312" y="2121513"/>
        <a:ext cx="485717" cy="235530"/>
      </dsp:txXfrm>
    </dsp:sp>
    <dsp:sp modelId="{0F885D3D-8383-480E-847E-CC35A462504B}">
      <dsp:nvSpPr>
        <dsp:cNvPr id="0" name=""/>
        <dsp:cNvSpPr/>
      </dsp:nvSpPr>
      <dsp:spPr>
        <a:xfrm rot="4340909">
          <a:off x="-186670" y="3158818"/>
          <a:ext cx="1972072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844293" y="2911"/>
              </a:lnTo>
            </a:path>
            <a:path>
              <a:moveTo>
                <a:pt x="1127778" y="2911"/>
              </a:moveTo>
              <a:lnTo>
                <a:pt x="1972072" y="2911"/>
              </a:lnTo>
            </a:path>
          </a:pathLst>
        </a:custGeom>
        <a:noFill/>
        <a:ln w="6350" cap="flat" cmpd="sng" algn="ctr">
          <a:solidFill>
            <a:schemeClr val="accent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Hire  Business Analyst</a:t>
          </a:r>
        </a:p>
      </dsp:txBody>
      <dsp:txXfrm>
        <a:off x="657623" y="2915221"/>
        <a:ext cx="283485" cy="493018"/>
      </dsp:txXfrm>
    </dsp:sp>
    <dsp:sp modelId="{F585E2FE-3908-489A-A306-B9316D5C8515}">
      <dsp:nvSpPr>
        <dsp:cNvPr id="0" name=""/>
        <dsp:cNvSpPr/>
      </dsp:nvSpPr>
      <dsp:spPr>
        <a:xfrm>
          <a:off x="1098358" y="3976248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2</a:t>
          </a:r>
        </a:p>
      </dsp:txBody>
      <dsp:txXfrm>
        <a:off x="1105686" y="3983576"/>
        <a:ext cx="485717" cy="235530"/>
      </dsp:txXfrm>
    </dsp:sp>
    <dsp:sp modelId="{8415BB3D-3BF9-47A1-A8DE-069EDED63631}">
      <dsp:nvSpPr>
        <dsp:cNvPr id="0" name=""/>
        <dsp:cNvSpPr/>
      </dsp:nvSpPr>
      <dsp:spPr>
        <a:xfrm rot="19991660">
          <a:off x="1550688" y="3896813"/>
          <a:ext cx="89416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330420" y="2911"/>
              </a:lnTo>
            </a:path>
            <a:path>
              <a:moveTo>
                <a:pt x="563740" y="2911"/>
              </a:moveTo>
              <a:lnTo>
                <a:pt x="89416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Positive</a:t>
          </a:r>
        </a:p>
      </dsp:txBody>
      <dsp:txXfrm>
        <a:off x="1881109" y="3787954"/>
        <a:ext cx="233320" cy="223540"/>
      </dsp:txXfrm>
    </dsp:sp>
    <dsp:sp modelId="{37DCABDA-982E-4FF3-A799-576C12D46A04}">
      <dsp:nvSpPr>
        <dsp:cNvPr id="0" name=""/>
        <dsp:cNvSpPr/>
      </dsp:nvSpPr>
      <dsp:spPr>
        <a:xfrm>
          <a:off x="2396806" y="3573013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4</a:t>
          </a:r>
          <a:endParaRPr lang="en-US" sz="900" kern="1200"/>
        </a:p>
      </dsp:txBody>
      <dsp:txXfrm>
        <a:off x="2404134" y="3580341"/>
        <a:ext cx="485717" cy="235530"/>
      </dsp:txXfrm>
    </dsp:sp>
    <dsp:sp modelId="{390A26D5-C913-427B-AA44-4DEAE06020C1}">
      <dsp:nvSpPr>
        <dsp:cNvPr id="0" name=""/>
        <dsp:cNvSpPr/>
      </dsp:nvSpPr>
      <dsp:spPr>
        <a:xfrm rot="19173756">
          <a:off x="2724361" y="3225960"/>
          <a:ext cx="1446878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68578" y="2911"/>
              </a:lnTo>
            </a:path>
            <a:path>
              <a:moveTo>
                <a:pt x="878300" y="2911"/>
              </a:moveTo>
              <a:lnTo>
                <a:pt x="1446878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Apartment Buiding</a:t>
          </a:r>
        </a:p>
      </dsp:txBody>
      <dsp:txXfrm>
        <a:off x="3292939" y="3048011"/>
        <a:ext cx="309722" cy="361719"/>
      </dsp:txXfrm>
    </dsp:sp>
    <dsp:sp modelId="{B5D48A3D-F390-4BDE-9658-AE52D6F606EF}">
      <dsp:nvSpPr>
        <dsp:cNvPr id="0" name=""/>
        <dsp:cNvSpPr/>
      </dsp:nvSpPr>
      <dsp:spPr>
        <a:xfrm>
          <a:off x="3998421" y="2634543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9</a:t>
          </a:r>
          <a:endParaRPr lang="en-US" sz="900" kern="1200"/>
        </a:p>
      </dsp:txBody>
      <dsp:txXfrm>
        <a:off x="4005749" y="2641871"/>
        <a:ext cx="485717" cy="235530"/>
      </dsp:txXfrm>
    </dsp:sp>
    <dsp:sp modelId="{05B06E0F-C39B-4FF4-8481-1BDE7A32EC94}">
      <dsp:nvSpPr>
        <dsp:cNvPr id="0" name=""/>
        <dsp:cNvSpPr/>
      </dsp:nvSpPr>
      <dsp:spPr>
        <a:xfrm rot="21053668">
          <a:off x="4489075" y="2634677"/>
          <a:ext cx="154242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24201" y="2911"/>
              </a:lnTo>
            </a:path>
            <a:path>
              <a:moveTo>
                <a:pt x="918226" y="2911"/>
              </a:moveTo>
              <a:lnTo>
                <a:pt x="154242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</dsp:txBody>
      <dsp:txXfrm>
        <a:off x="5113277" y="2444785"/>
        <a:ext cx="294025" cy="385606"/>
      </dsp:txXfrm>
    </dsp:sp>
    <dsp:sp modelId="{6680B383-E4A9-4283-B090-662C5C653B23}">
      <dsp:nvSpPr>
        <dsp:cNvPr id="0" name=""/>
        <dsp:cNvSpPr/>
      </dsp:nvSpPr>
      <dsp:spPr>
        <a:xfrm>
          <a:off x="6021785" y="2390448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$3</a:t>
          </a:r>
          <a:r>
            <a:rPr lang="en-US" altLang="zh-CN" sz="900" b="0" i="0" u="none" kern="1200"/>
            <a:t>03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9113" y="2397776"/>
        <a:ext cx="485717" cy="235530"/>
      </dsp:txXfrm>
    </dsp:sp>
    <dsp:sp modelId="{E36AD7FC-6AC3-4253-ADC4-3D14A733EC4D}">
      <dsp:nvSpPr>
        <dsp:cNvPr id="0" name=""/>
        <dsp:cNvSpPr/>
      </dsp:nvSpPr>
      <dsp:spPr>
        <a:xfrm rot="17616">
          <a:off x="4498784" y="2760619"/>
          <a:ext cx="1519908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32899" y="2911"/>
              </a:lnTo>
            </a:path>
            <a:path>
              <a:moveTo>
                <a:pt x="887009" y="2911"/>
              </a:moveTo>
              <a:lnTo>
                <a:pt x="1519908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 </a:t>
          </a:r>
        </a:p>
      </dsp:txBody>
      <dsp:txXfrm>
        <a:off x="5131683" y="2573542"/>
        <a:ext cx="254109" cy="379977"/>
      </dsp:txXfrm>
    </dsp:sp>
    <dsp:sp modelId="{E7E87AC0-CB30-469F-8A81-9AFA79AA8CF3}">
      <dsp:nvSpPr>
        <dsp:cNvPr id="0" name=""/>
        <dsp:cNvSpPr/>
      </dsp:nvSpPr>
      <dsp:spPr>
        <a:xfrm>
          <a:off x="6018682" y="264233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183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6010" y="2649659"/>
        <a:ext cx="485717" cy="235530"/>
      </dsp:txXfrm>
    </dsp:sp>
    <dsp:sp modelId="{A585506C-4118-4BAB-AB42-E4F536F8632C}">
      <dsp:nvSpPr>
        <dsp:cNvPr id="0" name=""/>
        <dsp:cNvSpPr/>
      </dsp:nvSpPr>
      <dsp:spPr>
        <a:xfrm rot="579402">
          <a:off x="4487903" y="2885657"/>
          <a:ext cx="153724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04090" y="2911"/>
              </a:lnTo>
            </a:path>
            <a:path>
              <a:moveTo>
                <a:pt x="933157" y="2911"/>
              </a:moveTo>
              <a:lnTo>
                <a:pt x="153724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091993" y="2696413"/>
        <a:ext cx="329066" cy="384311"/>
      </dsp:txXfrm>
    </dsp:sp>
    <dsp:sp modelId="{D73035F8-5613-4954-8E81-4A1816727585}">
      <dsp:nvSpPr>
        <dsp:cNvPr id="0" name=""/>
        <dsp:cNvSpPr/>
      </dsp:nvSpPr>
      <dsp:spPr>
        <a:xfrm>
          <a:off x="6014259" y="2892408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127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1587" y="2899736"/>
        <a:ext cx="485717" cy="235530"/>
      </dsp:txXfrm>
    </dsp:sp>
    <dsp:sp modelId="{5AE63F79-B12E-4034-A16F-FCC085DB5583}">
      <dsp:nvSpPr>
        <dsp:cNvPr id="0" name=""/>
        <dsp:cNvSpPr/>
      </dsp:nvSpPr>
      <dsp:spPr>
        <a:xfrm rot="20765134">
          <a:off x="2880655" y="3559779"/>
          <a:ext cx="1126249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442580" y="2911"/>
              </a:lnTo>
            </a:path>
            <a:path>
              <a:moveTo>
                <a:pt x="683668" y="2911"/>
              </a:moveTo>
              <a:lnTo>
                <a:pt x="1126249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Office Building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323236" y="3421909"/>
        <a:ext cx="241087" cy="281562"/>
      </dsp:txXfrm>
    </dsp:sp>
    <dsp:sp modelId="{2C0E393F-0E23-48A6-BC9F-7454C1263641}">
      <dsp:nvSpPr>
        <dsp:cNvPr id="0" name=""/>
        <dsp:cNvSpPr/>
      </dsp:nvSpPr>
      <dsp:spPr>
        <a:xfrm>
          <a:off x="3990380" y="330218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10</a:t>
          </a:r>
          <a:endParaRPr lang="en-US" sz="900" kern="1200"/>
        </a:p>
      </dsp:txBody>
      <dsp:txXfrm>
        <a:off x="3997708" y="3309509"/>
        <a:ext cx="485717" cy="235530"/>
      </dsp:txXfrm>
    </dsp:sp>
    <dsp:sp modelId="{CDD1F135-496B-4FA6-9A02-B40A53071DAB}">
      <dsp:nvSpPr>
        <dsp:cNvPr id="0" name=""/>
        <dsp:cNvSpPr/>
      </dsp:nvSpPr>
      <dsp:spPr>
        <a:xfrm rot="21307191">
          <a:off x="4487955" y="3358712"/>
          <a:ext cx="154340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24597" y="2911"/>
              </a:lnTo>
            </a:path>
            <a:path>
              <a:moveTo>
                <a:pt x="918809" y="2911"/>
              </a:moveTo>
              <a:lnTo>
                <a:pt x="154340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</dsp:txBody>
      <dsp:txXfrm>
        <a:off x="5112553" y="3168698"/>
        <a:ext cx="294211" cy="385851"/>
      </dsp:txXfrm>
    </dsp:sp>
    <dsp:sp modelId="{D41F4524-33ED-4F0A-9303-92A1B51534CF}">
      <dsp:nvSpPr>
        <dsp:cNvPr id="0" name=""/>
        <dsp:cNvSpPr/>
      </dsp:nvSpPr>
      <dsp:spPr>
        <a:xfrm>
          <a:off x="6028565" y="3170880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413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5893" y="3178208"/>
        <a:ext cx="485717" cy="235530"/>
      </dsp:txXfrm>
    </dsp:sp>
    <dsp:sp modelId="{744D6922-5585-4672-BAFB-6F9DAFE3EB6F}">
      <dsp:nvSpPr>
        <dsp:cNvPr id="0" name=""/>
        <dsp:cNvSpPr/>
      </dsp:nvSpPr>
      <dsp:spPr>
        <a:xfrm rot="268176">
          <a:off x="4488415" y="3484272"/>
          <a:ext cx="1537524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40234" y="2911"/>
              </a:lnTo>
            </a:path>
            <a:path>
              <a:moveTo>
                <a:pt x="897289" y="2911"/>
              </a:moveTo>
              <a:lnTo>
                <a:pt x="1537524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 </a:t>
          </a:r>
        </a:p>
      </dsp:txBody>
      <dsp:txXfrm>
        <a:off x="5128650" y="3294993"/>
        <a:ext cx="257054" cy="384381"/>
      </dsp:txXfrm>
    </dsp:sp>
    <dsp:sp modelId="{FACEEFBA-22B6-431D-AF11-84C9128A9EBE}">
      <dsp:nvSpPr>
        <dsp:cNvPr id="0" name=""/>
        <dsp:cNvSpPr/>
      </dsp:nvSpPr>
      <dsp:spPr>
        <a:xfrm>
          <a:off x="6023601" y="3422000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313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0929" y="3429328"/>
        <a:ext cx="485717" cy="235530"/>
      </dsp:txXfrm>
    </dsp:sp>
    <dsp:sp modelId="{C52FC2F3-9101-46C9-81CA-893FFF25529E}">
      <dsp:nvSpPr>
        <dsp:cNvPr id="0" name=""/>
        <dsp:cNvSpPr/>
      </dsp:nvSpPr>
      <dsp:spPr>
        <a:xfrm rot="826307">
          <a:off x="4468085" y="3612070"/>
          <a:ext cx="1577008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19715" y="2911"/>
              </a:lnTo>
            </a:path>
            <a:path>
              <a:moveTo>
                <a:pt x="957293" y="2911"/>
              </a:moveTo>
              <a:lnTo>
                <a:pt x="1577008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087800" y="3417855"/>
        <a:ext cx="337578" cy="394252"/>
      </dsp:txXfrm>
    </dsp:sp>
    <dsp:sp modelId="{C9CD7232-363F-400C-AF8F-7A1FE3A5207B}">
      <dsp:nvSpPr>
        <dsp:cNvPr id="0" name=""/>
        <dsp:cNvSpPr/>
      </dsp:nvSpPr>
      <dsp:spPr>
        <a:xfrm>
          <a:off x="6022425" y="3677596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87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9753" y="3684924"/>
        <a:ext cx="485717" cy="235530"/>
      </dsp:txXfrm>
    </dsp:sp>
    <dsp:sp modelId="{55F36CC3-0FAE-423A-80CF-C7265ECA2DE8}">
      <dsp:nvSpPr>
        <dsp:cNvPr id="0" name=""/>
        <dsp:cNvSpPr/>
      </dsp:nvSpPr>
      <dsp:spPr>
        <a:xfrm rot="1132651">
          <a:off x="2865906" y="3883314"/>
          <a:ext cx="116285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416085" y="2911"/>
              </a:lnTo>
            </a:path>
            <a:path>
              <a:moveTo>
                <a:pt x="746772" y="2911"/>
              </a:moveTo>
              <a:lnTo>
                <a:pt x="116285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Warehouse</a:t>
          </a:r>
        </a:p>
      </dsp:txBody>
      <dsp:txXfrm>
        <a:off x="3281991" y="3740868"/>
        <a:ext cx="330687" cy="290714"/>
      </dsp:txXfrm>
    </dsp:sp>
    <dsp:sp modelId="{94209278-B199-41CF-9037-B2F6B25AE76B}">
      <dsp:nvSpPr>
        <dsp:cNvPr id="0" name=""/>
        <dsp:cNvSpPr/>
      </dsp:nvSpPr>
      <dsp:spPr>
        <a:xfrm>
          <a:off x="3997490" y="394925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11</a:t>
          </a:r>
          <a:endParaRPr lang="en-US" sz="900" kern="1200"/>
        </a:p>
      </dsp:txBody>
      <dsp:txXfrm>
        <a:off x="4004818" y="3956579"/>
        <a:ext cx="485717" cy="235530"/>
      </dsp:txXfrm>
    </dsp:sp>
    <dsp:sp modelId="{9C177D46-99B2-461A-A8CB-C27D88CBA076}">
      <dsp:nvSpPr>
        <dsp:cNvPr id="0" name=""/>
        <dsp:cNvSpPr/>
      </dsp:nvSpPr>
      <dsp:spPr>
        <a:xfrm rot="21598464">
          <a:off x="4497863" y="4071094"/>
          <a:ext cx="1517136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96187" y="2911"/>
              </a:lnTo>
            </a:path>
            <a:path>
              <a:moveTo>
                <a:pt x="920949" y="2911"/>
              </a:moveTo>
              <a:lnTo>
                <a:pt x="1517136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94050" y="3884363"/>
        <a:ext cx="324762" cy="379284"/>
      </dsp:txXfrm>
    </dsp:sp>
    <dsp:sp modelId="{AEEE4545-E644-4031-909F-822631E5781D}">
      <dsp:nvSpPr>
        <dsp:cNvPr id="0" name=""/>
        <dsp:cNvSpPr/>
      </dsp:nvSpPr>
      <dsp:spPr>
        <a:xfrm>
          <a:off x="6015000" y="3948573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333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2328" y="3955901"/>
        <a:ext cx="485717" cy="235530"/>
      </dsp:txXfrm>
    </dsp:sp>
    <dsp:sp modelId="{CAF4066F-373F-4E35-BC0E-01F9BFB88D59}">
      <dsp:nvSpPr>
        <dsp:cNvPr id="0" name=""/>
        <dsp:cNvSpPr/>
      </dsp:nvSpPr>
      <dsp:spPr>
        <a:xfrm rot="580245">
          <a:off x="4486966" y="4200248"/>
          <a:ext cx="1533636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38615" y="2911"/>
              </a:lnTo>
            </a:path>
            <a:path>
              <a:moveTo>
                <a:pt x="895020" y="2911"/>
              </a:moveTo>
              <a:lnTo>
                <a:pt x="1533636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</a:t>
          </a:r>
        </a:p>
      </dsp:txBody>
      <dsp:txXfrm>
        <a:off x="5125582" y="4011454"/>
        <a:ext cx="256404" cy="383409"/>
      </dsp:txXfrm>
    </dsp:sp>
    <dsp:sp modelId="{CFC1A9B1-BB96-4A4E-BF5E-17397D293831}">
      <dsp:nvSpPr>
        <dsp:cNvPr id="0" name=""/>
        <dsp:cNvSpPr/>
      </dsp:nvSpPr>
      <dsp:spPr>
        <a:xfrm>
          <a:off x="6009706" y="4206880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203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17034" y="4214208"/>
        <a:ext cx="485717" cy="235530"/>
      </dsp:txXfrm>
    </dsp:sp>
    <dsp:sp modelId="{6AAF7069-20AD-48C4-AB99-29057A9498CA}">
      <dsp:nvSpPr>
        <dsp:cNvPr id="0" name=""/>
        <dsp:cNvSpPr/>
      </dsp:nvSpPr>
      <dsp:spPr>
        <a:xfrm rot="1111670">
          <a:off x="4456128" y="4327306"/>
          <a:ext cx="1610454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51730" y="2911"/>
              </a:lnTo>
            </a:path>
            <a:path>
              <a:moveTo>
                <a:pt x="958723" y="2911"/>
              </a:moveTo>
              <a:lnTo>
                <a:pt x="1610454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107859" y="4128911"/>
        <a:ext cx="306992" cy="402613"/>
      </dsp:txXfrm>
    </dsp:sp>
    <dsp:sp modelId="{53A53E49-EAF0-4FF0-B07C-F648FF7970B5}">
      <dsp:nvSpPr>
        <dsp:cNvPr id="0" name=""/>
        <dsp:cNvSpPr/>
      </dsp:nvSpPr>
      <dsp:spPr>
        <a:xfrm>
          <a:off x="6024847" y="4460997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227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2175" y="4468325"/>
        <a:ext cx="485717" cy="235530"/>
      </dsp:txXfrm>
    </dsp:sp>
    <dsp:sp modelId="{CCBE097A-A328-45DA-8008-61B8A5499C49}">
      <dsp:nvSpPr>
        <dsp:cNvPr id="0" name=""/>
        <dsp:cNvSpPr/>
      </dsp:nvSpPr>
      <dsp:spPr>
        <a:xfrm rot="3123554">
          <a:off x="1340990" y="4626185"/>
          <a:ext cx="133838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41625" y="2911"/>
              </a:lnTo>
            </a:path>
            <a:path>
              <a:moveTo>
                <a:pt x="796754" y="2911"/>
              </a:moveTo>
              <a:lnTo>
                <a:pt x="133838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Negative</a:t>
          </a:r>
        </a:p>
      </dsp:txBody>
      <dsp:txXfrm>
        <a:off x="1882616" y="4461799"/>
        <a:ext cx="255128" cy="334595"/>
      </dsp:txXfrm>
    </dsp:sp>
    <dsp:sp modelId="{FFA93BCF-919A-45E2-84FF-2A9716D017D3}">
      <dsp:nvSpPr>
        <dsp:cNvPr id="0" name=""/>
        <dsp:cNvSpPr/>
      </dsp:nvSpPr>
      <dsp:spPr>
        <a:xfrm>
          <a:off x="2421630" y="5031758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900" kern="1200"/>
            <a:t>5</a:t>
          </a:r>
          <a:endParaRPr lang="en-US" sz="900" kern="1200"/>
        </a:p>
      </dsp:txBody>
      <dsp:txXfrm>
        <a:off x="2428958" y="5039086"/>
        <a:ext cx="485717" cy="235530"/>
      </dsp:txXfrm>
    </dsp:sp>
    <dsp:sp modelId="{A6252E0F-B259-401D-B679-A5F5974B8103}">
      <dsp:nvSpPr>
        <dsp:cNvPr id="0" name=""/>
        <dsp:cNvSpPr/>
      </dsp:nvSpPr>
      <dsp:spPr>
        <a:xfrm rot="20690732">
          <a:off x="2902388" y="5006483"/>
          <a:ext cx="112811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403654" y="2911"/>
              </a:lnTo>
            </a:path>
            <a:path>
              <a:moveTo>
                <a:pt x="724463" y="2911"/>
              </a:moveTo>
              <a:lnTo>
                <a:pt x="112811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Apartment Buiding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306042" y="4868379"/>
        <a:ext cx="320808" cy="282029"/>
      </dsp:txXfrm>
    </dsp:sp>
    <dsp:sp modelId="{8A025657-39FB-4171-A16C-01A82D850634}">
      <dsp:nvSpPr>
        <dsp:cNvPr id="0" name=""/>
        <dsp:cNvSpPr/>
      </dsp:nvSpPr>
      <dsp:spPr>
        <a:xfrm>
          <a:off x="4010890" y="4736843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1</a:t>
          </a:r>
          <a:r>
            <a:rPr lang="en-US" altLang="zh-CN" sz="900" kern="1200"/>
            <a:t>2</a:t>
          </a:r>
          <a:endParaRPr lang="en-US" sz="900" kern="1200"/>
        </a:p>
      </dsp:txBody>
      <dsp:txXfrm>
        <a:off x="4018218" y="4744171"/>
        <a:ext cx="485717" cy="235530"/>
      </dsp:txXfrm>
    </dsp:sp>
    <dsp:sp modelId="{856AD367-FAFC-44F4-BAA0-71AFC1172E52}">
      <dsp:nvSpPr>
        <dsp:cNvPr id="0" name=""/>
        <dsp:cNvSpPr/>
      </dsp:nvSpPr>
      <dsp:spPr>
        <a:xfrm rot="21572374">
          <a:off x="4511239" y="4852926"/>
          <a:ext cx="1518056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14338" y="2911"/>
              </a:lnTo>
            </a:path>
            <a:path>
              <a:moveTo>
                <a:pt x="903717" y="2911"/>
              </a:moveTo>
              <a:lnTo>
                <a:pt x="1518056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125577" y="4666080"/>
        <a:ext cx="289379" cy="379514"/>
      </dsp:txXfrm>
    </dsp:sp>
    <dsp:sp modelId="{1ADA4035-2C60-4212-BEF6-080403AD4EF0}">
      <dsp:nvSpPr>
        <dsp:cNvPr id="0" name=""/>
        <dsp:cNvSpPr/>
      </dsp:nvSpPr>
      <dsp:spPr>
        <a:xfrm>
          <a:off x="6029270" y="4724644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$3</a:t>
          </a:r>
          <a:r>
            <a:rPr lang="en-US" altLang="zh-CN" sz="900" b="0" i="0" u="none" kern="1200"/>
            <a:t>03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6598" y="4731972"/>
        <a:ext cx="485717" cy="235530"/>
      </dsp:txXfrm>
    </dsp:sp>
    <dsp:sp modelId="{2F4F37EC-78E4-45CD-9260-D10402B6DFC4}">
      <dsp:nvSpPr>
        <dsp:cNvPr id="0" name=""/>
        <dsp:cNvSpPr/>
      </dsp:nvSpPr>
      <dsp:spPr>
        <a:xfrm rot="528249">
          <a:off x="4502264" y="4975931"/>
          <a:ext cx="152761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36106" y="2911"/>
              </a:lnTo>
            </a:path>
            <a:path>
              <a:moveTo>
                <a:pt x="891503" y="2911"/>
              </a:moveTo>
              <a:lnTo>
                <a:pt x="152761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138370" y="4787891"/>
        <a:ext cx="255397" cy="381902"/>
      </dsp:txXfrm>
    </dsp:sp>
    <dsp:sp modelId="{F3B0C31A-5F32-4D8F-B82B-D68B163118D8}">
      <dsp:nvSpPr>
        <dsp:cNvPr id="0" name=""/>
        <dsp:cNvSpPr/>
      </dsp:nvSpPr>
      <dsp:spPr>
        <a:xfrm>
          <a:off x="6020874" y="4970655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183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8202" y="4977983"/>
        <a:ext cx="485717" cy="235530"/>
      </dsp:txXfrm>
    </dsp:sp>
    <dsp:sp modelId="{9BA799D1-1109-4122-91C3-9C4695841696}">
      <dsp:nvSpPr>
        <dsp:cNvPr id="0" name=""/>
        <dsp:cNvSpPr/>
      </dsp:nvSpPr>
      <dsp:spPr>
        <a:xfrm rot="1064698">
          <a:off x="4473382" y="5101691"/>
          <a:ext cx="1592398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25762" y="2911"/>
              </a:lnTo>
            </a:path>
            <a:path>
              <a:moveTo>
                <a:pt x="966635" y="2911"/>
              </a:moveTo>
              <a:lnTo>
                <a:pt x="1592398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099145" y="4905553"/>
        <a:ext cx="340872" cy="398099"/>
      </dsp:txXfrm>
    </dsp:sp>
    <dsp:sp modelId="{372B3983-125C-42F7-8252-C0A4985D82B1}">
      <dsp:nvSpPr>
        <dsp:cNvPr id="0" name=""/>
        <dsp:cNvSpPr/>
      </dsp:nvSpPr>
      <dsp:spPr>
        <a:xfrm>
          <a:off x="6027899" y="5222175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127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5227" y="5229503"/>
        <a:ext cx="485717" cy="235530"/>
      </dsp:txXfrm>
    </dsp:sp>
    <dsp:sp modelId="{62FF1B95-6D37-432F-A77D-E6358BD98A71}">
      <dsp:nvSpPr>
        <dsp:cNvPr id="0" name=""/>
        <dsp:cNvSpPr/>
      </dsp:nvSpPr>
      <dsp:spPr>
        <a:xfrm rot="963399">
          <a:off x="2899625" y="5312596"/>
          <a:ext cx="1147237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450828" y="2911"/>
              </a:lnTo>
            </a:path>
            <a:path>
              <a:moveTo>
                <a:pt x="696408" y="2911"/>
              </a:moveTo>
              <a:lnTo>
                <a:pt x="1147237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Office Building</a:t>
          </a:r>
        </a:p>
      </dsp:txBody>
      <dsp:txXfrm>
        <a:off x="3350454" y="5172103"/>
        <a:ext cx="245580" cy="286809"/>
      </dsp:txXfrm>
    </dsp:sp>
    <dsp:sp modelId="{A8291943-30B5-42C5-BCC9-8B7F6DAA6093}">
      <dsp:nvSpPr>
        <dsp:cNvPr id="0" name=""/>
        <dsp:cNvSpPr/>
      </dsp:nvSpPr>
      <dsp:spPr>
        <a:xfrm>
          <a:off x="4024485" y="5349070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1</a:t>
          </a:r>
          <a:r>
            <a:rPr lang="en-US" altLang="zh-CN" sz="900" kern="1200"/>
            <a:t>3</a:t>
          </a:r>
          <a:endParaRPr lang="en-US" sz="900" kern="1200"/>
        </a:p>
      </dsp:txBody>
      <dsp:txXfrm>
        <a:off x="4031813" y="5356398"/>
        <a:ext cx="485717" cy="235530"/>
      </dsp:txXfrm>
    </dsp:sp>
    <dsp:sp modelId="{5AC1D62A-FB70-4C67-A0F4-FB4F9392648B}">
      <dsp:nvSpPr>
        <dsp:cNvPr id="0" name=""/>
        <dsp:cNvSpPr/>
      </dsp:nvSpPr>
      <dsp:spPr>
        <a:xfrm rot="309235">
          <a:off x="4521819" y="5538773"/>
          <a:ext cx="1503294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90747" y="2911"/>
              </a:lnTo>
            </a:path>
            <a:path>
              <a:moveTo>
                <a:pt x="912546" y="2911"/>
              </a:moveTo>
              <a:lnTo>
                <a:pt x="1503294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112567" y="5353773"/>
        <a:ext cx="321798" cy="375823"/>
      </dsp:txXfrm>
    </dsp:sp>
    <dsp:sp modelId="{8B3BA243-0A3B-4300-BAAA-B807771E0224}">
      <dsp:nvSpPr>
        <dsp:cNvPr id="0" name=""/>
        <dsp:cNvSpPr/>
      </dsp:nvSpPr>
      <dsp:spPr>
        <a:xfrm>
          <a:off x="6022075" y="5484113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413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29403" y="5491441"/>
        <a:ext cx="485717" cy="235530"/>
      </dsp:txXfrm>
    </dsp:sp>
    <dsp:sp modelId="{5FC6D9E7-69F8-4B0A-A352-ECD27A83825A}">
      <dsp:nvSpPr>
        <dsp:cNvPr id="0" name=""/>
        <dsp:cNvSpPr/>
      </dsp:nvSpPr>
      <dsp:spPr>
        <a:xfrm rot="874596">
          <a:off x="4499913" y="5666297"/>
          <a:ext cx="1549984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45423" y="2911"/>
              </a:lnTo>
            </a:path>
            <a:path>
              <a:moveTo>
                <a:pt x="904561" y="2911"/>
              </a:moveTo>
              <a:lnTo>
                <a:pt x="1549984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</a:t>
          </a:r>
        </a:p>
      </dsp:txBody>
      <dsp:txXfrm>
        <a:off x="5145336" y="5475460"/>
        <a:ext cx="259138" cy="387496"/>
      </dsp:txXfrm>
    </dsp:sp>
    <dsp:sp modelId="{124B8A3C-B1B0-4EFB-A9D2-ED8013DC7199}">
      <dsp:nvSpPr>
        <dsp:cNvPr id="0" name=""/>
        <dsp:cNvSpPr/>
      </dsp:nvSpPr>
      <dsp:spPr>
        <a:xfrm>
          <a:off x="6024952" y="573916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313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2280" y="5746489"/>
        <a:ext cx="485717" cy="235530"/>
      </dsp:txXfrm>
    </dsp:sp>
    <dsp:sp modelId="{E70D854E-8080-45EA-BCFF-31144620A878}">
      <dsp:nvSpPr>
        <dsp:cNvPr id="0" name=""/>
        <dsp:cNvSpPr/>
      </dsp:nvSpPr>
      <dsp:spPr>
        <a:xfrm rot="1404037">
          <a:off x="4457504" y="5796483"/>
          <a:ext cx="1637793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62794" y="2911"/>
              </a:lnTo>
            </a:path>
            <a:path>
              <a:moveTo>
                <a:pt x="974999" y="2911"/>
              </a:moveTo>
              <a:lnTo>
                <a:pt x="1637793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120299" y="5594670"/>
        <a:ext cx="312204" cy="409448"/>
      </dsp:txXfrm>
    </dsp:sp>
    <dsp:sp modelId="{6075489B-5940-497B-9294-633308A2A0BD}">
      <dsp:nvSpPr>
        <dsp:cNvPr id="0" name=""/>
        <dsp:cNvSpPr/>
      </dsp:nvSpPr>
      <dsp:spPr>
        <a:xfrm>
          <a:off x="6027944" y="5999532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87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5272" y="6006860"/>
        <a:ext cx="485717" cy="235530"/>
      </dsp:txXfrm>
    </dsp:sp>
    <dsp:sp modelId="{45BD0619-0D54-4046-82CB-DE03B14D99E3}">
      <dsp:nvSpPr>
        <dsp:cNvPr id="0" name=""/>
        <dsp:cNvSpPr/>
      </dsp:nvSpPr>
      <dsp:spPr>
        <a:xfrm rot="2636272">
          <a:off x="2709510" y="5680702"/>
          <a:ext cx="1518312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596649" y="2911"/>
              </a:lnTo>
            </a:path>
            <a:path>
              <a:moveTo>
                <a:pt x="921662" y="2911"/>
              </a:moveTo>
              <a:lnTo>
                <a:pt x="1518312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Warehouse</a:t>
          </a:r>
        </a:p>
      </dsp:txBody>
      <dsp:txXfrm>
        <a:off x="3306159" y="5493824"/>
        <a:ext cx="325013" cy="379578"/>
      </dsp:txXfrm>
    </dsp:sp>
    <dsp:sp modelId="{D7EA5790-B178-47FE-9C01-A66C6D42B9F8}">
      <dsp:nvSpPr>
        <dsp:cNvPr id="0" name=""/>
        <dsp:cNvSpPr/>
      </dsp:nvSpPr>
      <dsp:spPr>
        <a:xfrm>
          <a:off x="4015328" y="6085281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1</a:t>
          </a:r>
          <a:r>
            <a:rPr lang="en-US" altLang="zh-CN" sz="900" kern="1200"/>
            <a:t>4</a:t>
          </a:r>
          <a:endParaRPr lang="en-US" sz="900" kern="1200"/>
        </a:p>
      </dsp:txBody>
      <dsp:txXfrm>
        <a:off x="4022656" y="6092609"/>
        <a:ext cx="485717" cy="235530"/>
      </dsp:txXfrm>
    </dsp:sp>
    <dsp:sp modelId="{8E1370CB-93F8-444F-9967-D936788E3695}">
      <dsp:nvSpPr>
        <dsp:cNvPr id="0" name=""/>
        <dsp:cNvSpPr/>
      </dsp:nvSpPr>
      <dsp:spPr>
        <a:xfrm rot="413384">
          <a:off x="4510207" y="6298740"/>
          <a:ext cx="1521800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15853" y="2911"/>
              </a:lnTo>
            </a:path>
            <a:path>
              <a:moveTo>
                <a:pt x="905947" y="2911"/>
              </a:moveTo>
              <a:lnTo>
                <a:pt x="1521800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Optimistic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126061" y="6111426"/>
        <a:ext cx="290093" cy="380450"/>
      </dsp:txXfrm>
    </dsp:sp>
    <dsp:sp modelId="{9DC7CF2B-1804-4041-BD69-E2304806DB27}">
      <dsp:nvSpPr>
        <dsp:cNvPr id="0" name=""/>
        <dsp:cNvSpPr/>
      </dsp:nvSpPr>
      <dsp:spPr>
        <a:xfrm>
          <a:off x="6026513" y="6267835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333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3841" y="6275163"/>
        <a:ext cx="485717" cy="235530"/>
      </dsp:txXfrm>
    </dsp:sp>
    <dsp:sp modelId="{9D1EE0C2-8EE5-4F39-93CC-864F4CC3BCC6}">
      <dsp:nvSpPr>
        <dsp:cNvPr id="0" name=""/>
        <dsp:cNvSpPr/>
      </dsp:nvSpPr>
      <dsp:spPr>
        <a:xfrm rot="996629">
          <a:off x="4482794" y="6432891"/>
          <a:ext cx="1577172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56744" y="2911"/>
              </a:lnTo>
            </a:path>
            <a:path>
              <a:moveTo>
                <a:pt x="920427" y="2911"/>
              </a:moveTo>
              <a:lnTo>
                <a:pt x="1577172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Realistic</a:t>
          </a:r>
        </a:p>
      </dsp:txBody>
      <dsp:txXfrm>
        <a:off x="5139538" y="6238656"/>
        <a:ext cx="263683" cy="394293"/>
      </dsp:txXfrm>
    </dsp:sp>
    <dsp:sp modelId="{20D586A9-EDF2-4899-BBF0-A1F3A496D4A5}">
      <dsp:nvSpPr>
        <dsp:cNvPr id="0" name=""/>
        <dsp:cNvSpPr/>
      </dsp:nvSpPr>
      <dsp:spPr>
        <a:xfrm>
          <a:off x="6027059" y="6536138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$</a:t>
          </a:r>
          <a:r>
            <a:rPr lang="en-US" altLang="zh-CN" sz="900" b="0" i="0" u="none" kern="1200"/>
            <a:t>203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34387" y="6543466"/>
        <a:ext cx="485717" cy="235530"/>
      </dsp:txXfrm>
    </dsp:sp>
    <dsp:sp modelId="{D13A4E2C-792A-4797-A676-79017289C004}">
      <dsp:nvSpPr>
        <dsp:cNvPr id="0" name=""/>
        <dsp:cNvSpPr/>
      </dsp:nvSpPr>
      <dsp:spPr>
        <a:xfrm rot="1519494">
          <a:off x="4435013" y="6566604"/>
          <a:ext cx="1679203" cy="5822"/>
        </a:xfrm>
        <a:custGeom>
          <a:avLst/>
          <a:gdLst/>
          <a:ahLst/>
          <a:cxnLst/>
          <a:rect l="0" t="0" r="0" b="0"/>
          <a:pathLst>
            <a:path>
              <a:moveTo>
                <a:pt x="0" y="2911"/>
              </a:moveTo>
              <a:lnTo>
                <a:pt x="679552" y="2911"/>
              </a:lnTo>
            </a:path>
            <a:path>
              <a:moveTo>
                <a:pt x="999651" y="2911"/>
              </a:moveTo>
              <a:lnTo>
                <a:pt x="1679203" y="2911"/>
              </a:lnTo>
            </a:path>
          </a:pathLst>
        </a:custGeom>
        <a:noFill/>
        <a:ln w="6350" cap="flat" cmpd="sng" algn="ctr">
          <a:solidFill>
            <a:schemeClr val="accent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Pessimistic</a:t>
          </a:r>
        </a:p>
      </dsp:txBody>
      <dsp:txXfrm>
        <a:off x="5114566" y="6359615"/>
        <a:ext cx="320098" cy="419800"/>
      </dsp:txXfrm>
    </dsp:sp>
    <dsp:sp modelId="{427FF2AB-787A-4231-92EA-8E008CD340BA}">
      <dsp:nvSpPr>
        <dsp:cNvPr id="0" name=""/>
        <dsp:cNvSpPr/>
      </dsp:nvSpPr>
      <dsp:spPr>
        <a:xfrm>
          <a:off x="6033529" y="6803562"/>
          <a:ext cx="500373" cy="25018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-$</a:t>
          </a:r>
          <a:r>
            <a:rPr lang="en-US" altLang="zh-CN" sz="900" b="0" i="0" u="none" kern="1200"/>
            <a:t>227</a:t>
          </a:r>
          <a:r>
            <a:rPr lang="en-US" sz="900" b="0" i="0" u="none" kern="1200"/>
            <a:t>,000</a:t>
          </a:r>
          <a:endParaRPr lang="en-US" sz="900" kern="1200"/>
        </a:p>
      </dsp:txBody>
      <dsp:txXfrm>
        <a:off x="6040857" y="6810890"/>
        <a:ext cx="485717" cy="23553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252371</xdr:colOff>
      <xdr:row>33</xdr:row>
      <xdr:rowOff>8141</xdr:rowOff>
    </xdr:from>
    <xdr:to>
      <xdr:col>8</xdr:col>
      <xdr:colOff>309358</xdr:colOff>
      <xdr:row>79</xdr:row>
      <xdr:rowOff>32564</xdr:rowOff>
    </xdr:to>
    <xdr:graphicFrame macro="">
      <xdr:nvGraphicFramePr>
        <xdr:cNvPr id="3" name="Diagram 1">
          <a:extLst>
            <a:ext uri="{FF2B5EF4-FFF2-40B4-BE49-F238E27FC236}">
              <a16:creationId xmlns:a16="http://schemas.microsoft.com/office/drawing/2014/main" id="{6D04D469-0BA2-4546-9FC7-8D6749E46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1175</xdr:colOff>
      <xdr:row>29</xdr:row>
      <xdr:rowOff>51269</xdr:rowOff>
    </xdr:from>
    <xdr:to>
      <xdr:col>9</xdr:col>
      <xdr:colOff>270463</xdr:colOff>
      <xdr:row>62</xdr:row>
      <xdr:rowOff>70556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B9CB8E0-BFED-124B-9FF3-27B9DBC1A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26</xdr:row>
      <xdr:rowOff>0</xdr:rowOff>
    </xdr:from>
    <xdr:to>
      <xdr:col>7</xdr:col>
      <xdr:colOff>152400</xdr:colOff>
      <xdr:row>26</xdr:row>
      <xdr:rowOff>152400</xdr:rowOff>
    </xdr:to>
    <xdr:sp macro="" textlink="">
      <xdr:nvSpPr>
        <xdr:cNvPr id="8702" name="Square 8701">
          <a:extLst>
            <a:ext uri="{FF2B5EF4-FFF2-40B4-BE49-F238E27FC236}">
              <a16:creationId xmlns:a16="http://schemas.microsoft.com/office/drawing/2014/main" id="{00000000-0008-0000-0300-0000FE210000}"/>
            </a:ext>
          </a:extLst>
        </xdr:cNvPr>
        <xdr:cNvSpPr/>
      </xdr:nvSpPr>
      <xdr:spPr>
        <a:xfrm>
          <a:off x="3362325" y="5200650"/>
          <a:ext cx="152400" cy="152400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26</xdr:row>
      <xdr:rowOff>76200</xdr:rowOff>
    </xdr:from>
    <xdr:to>
      <xdr:col>7</xdr:col>
      <xdr:colOff>0</xdr:colOff>
      <xdr:row>26</xdr:row>
      <xdr:rowOff>76200</xdr:rowOff>
    </xdr:to>
    <xdr:sp macro="" textlink="">
      <xdr:nvSpPr>
        <xdr:cNvPr id="8703" name="Line 391">
          <a:extLst>
            <a:ext uri="{FF2B5EF4-FFF2-40B4-BE49-F238E27FC236}">
              <a16:creationId xmlns:a16="http://schemas.microsoft.com/office/drawing/2014/main" id="{00000000-0008-0000-0300-0000FF210000}"/>
            </a:ext>
          </a:extLst>
        </xdr:cNvPr>
        <xdr:cNvSpPr>
          <a:spLocks noChangeShapeType="1"/>
        </xdr:cNvSpPr>
      </xdr:nvSpPr>
      <xdr:spPr bwMode="auto">
        <a:xfrm>
          <a:off x="1990725" y="52768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152400</xdr:colOff>
      <xdr:row>26</xdr:row>
      <xdr:rowOff>76200</xdr:rowOff>
    </xdr:from>
    <xdr:to>
      <xdr:col>5</xdr:col>
      <xdr:colOff>0</xdr:colOff>
      <xdr:row>59</xdr:row>
      <xdr:rowOff>76200</xdr:rowOff>
    </xdr:to>
    <xdr:sp macro="" textlink="">
      <xdr:nvSpPr>
        <xdr:cNvPr id="8704" name="Line 392">
          <a:extLst>
            <a:ext uri="{FF2B5EF4-FFF2-40B4-BE49-F238E27FC236}">
              <a16:creationId xmlns:a16="http://schemas.microsoft.com/office/drawing/2014/main" id="{00000000-0008-0000-0300-000000220000}"/>
            </a:ext>
          </a:extLst>
        </xdr:cNvPr>
        <xdr:cNvSpPr>
          <a:spLocks noChangeShapeType="1"/>
        </xdr:cNvSpPr>
      </xdr:nvSpPr>
      <xdr:spPr bwMode="auto">
        <a:xfrm flipV="1">
          <a:off x="1695450" y="5276850"/>
          <a:ext cx="295275" cy="66008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152400</xdr:colOff>
      <xdr:row>93</xdr:row>
      <xdr:rowOff>152400</xdr:rowOff>
    </xdr:to>
    <xdr:sp macro="" textlink="">
      <xdr:nvSpPr>
        <xdr:cNvPr id="8705" name="Circle 8704">
          <a:extLst>
            <a:ext uri="{FF2B5EF4-FFF2-40B4-BE49-F238E27FC236}">
              <a16:creationId xmlns:a16="http://schemas.microsoft.com/office/drawing/2014/main" id="{00000000-0008-0000-0300-000001220000}"/>
            </a:ext>
          </a:extLst>
        </xdr:cNvPr>
        <xdr:cNvSpPr/>
      </xdr:nvSpPr>
      <xdr:spPr>
        <a:xfrm>
          <a:off x="3362325" y="18602325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93</xdr:row>
      <xdr:rowOff>76200</xdr:rowOff>
    </xdr:from>
    <xdr:to>
      <xdr:col>7</xdr:col>
      <xdr:colOff>0</xdr:colOff>
      <xdr:row>93</xdr:row>
      <xdr:rowOff>76200</xdr:rowOff>
    </xdr:to>
    <xdr:sp macro="" textlink="">
      <xdr:nvSpPr>
        <xdr:cNvPr id="8706" name="Line 393">
          <a:extLst>
            <a:ext uri="{FF2B5EF4-FFF2-40B4-BE49-F238E27FC236}">
              <a16:creationId xmlns:a16="http://schemas.microsoft.com/office/drawing/2014/main" id="{00000000-0008-0000-0300-000002220000}"/>
            </a:ext>
          </a:extLst>
        </xdr:cNvPr>
        <xdr:cNvSpPr>
          <a:spLocks noChangeShapeType="1"/>
        </xdr:cNvSpPr>
      </xdr:nvSpPr>
      <xdr:spPr bwMode="auto">
        <a:xfrm>
          <a:off x="1990725" y="186785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152400</xdr:colOff>
      <xdr:row>59</xdr:row>
      <xdr:rowOff>76200</xdr:rowOff>
    </xdr:from>
    <xdr:to>
      <xdr:col>5</xdr:col>
      <xdr:colOff>0</xdr:colOff>
      <xdr:row>93</xdr:row>
      <xdr:rowOff>76200</xdr:rowOff>
    </xdr:to>
    <xdr:sp macro="" textlink="">
      <xdr:nvSpPr>
        <xdr:cNvPr id="8707" name="Line 394">
          <a:extLst>
            <a:ext uri="{FF2B5EF4-FFF2-40B4-BE49-F238E27FC236}">
              <a16:creationId xmlns:a16="http://schemas.microsoft.com/office/drawing/2014/main" id="{00000000-0008-0000-0300-000003220000}"/>
            </a:ext>
          </a:extLst>
        </xdr:cNvPr>
        <xdr:cNvSpPr>
          <a:spLocks noChangeShapeType="1"/>
        </xdr:cNvSpPr>
      </xdr:nvSpPr>
      <xdr:spPr bwMode="auto">
        <a:xfrm>
          <a:off x="1695450" y="11877675"/>
          <a:ext cx="295275" cy="68008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152400</xdr:colOff>
      <xdr:row>11</xdr:row>
      <xdr:rowOff>152400</xdr:rowOff>
    </xdr:to>
    <xdr:sp macro="" textlink="">
      <xdr:nvSpPr>
        <xdr:cNvPr id="8708" name="Circle 8707">
          <a:extLst>
            <a:ext uri="{FF2B5EF4-FFF2-40B4-BE49-F238E27FC236}">
              <a16:creationId xmlns:a16="http://schemas.microsoft.com/office/drawing/2014/main" id="{00000000-0008-0000-0300-000004220000}"/>
            </a:ext>
          </a:extLst>
        </xdr:cNvPr>
        <xdr:cNvSpPr/>
      </xdr:nvSpPr>
      <xdr:spPr>
        <a:xfrm>
          <a:off x="5181600" y="2200275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</xdr:row>
      <xdr:rowOff>76200</xdr:rowOff>
    </xdr:from>
    <xdr:to>
      <xdr:col>11</xdr:col>
      <xdr:colOff>0</xdr:colOff>
      <xdr:row>11</xdr:row>
      <xdr:rowOff>76200</xdr:rowOff>
    </xdr:to>
    <xdr:sp macro="" textlink="">
      <xdr:nvSpPr>
        <xdr:cNvPr id="8709" name="Line 395">
          <a:extLst>
            <a:ext uri="{FF2B5EF4-FFF2-40B4-BE49-F238E27FC236}">
              <a16:creationId xmlns:a16="http://schemas.microsoft.com/office/drawing/2014/main" id="{00000000-0008-0000-0300-000005220000}"/>
            </a:ext>
          </a:extLst>
        </xdr:cNvPr>
        <xdr:cNvSpPr>
          <a:spLocks noChangeShapeType="1"/>
        </xdr:cNvSpPr>
      </xdr:nvSpPr>
      <xdr:spPr bwMode="auto">
        <a:xfrm>
          <a:off x="3810000" y="22764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152400</xdr:colOff>
      <xdr:row>11</xdr:row>
      <xdr:rowOff>76200</xdr:rowOff>
    </xdr:from>
    <xdr:to>
      <xdr:col>9</xdr:col>
      <xdr:colOff>0</xdr:colOff>
      <xdr:row>26</xdr:row>
      <xdr:rowOff>76200</xdr:rowOff>
    </xdr:to>
    <xdr:sp macro="" textlink="">
      <xdr:nvSpPr>
        <xdr:cNvPr id="8710" name="Line 396">
          <a:extLst>
            <a:ext uri="{FF2B5EF4-FFF2-40B4-BE49-F238E27FC236}">
              <a16:creationId xmlns:a16="http://schemas.microsoft.com/office/drawing/2014/main" id="{00000000-0008-0000-0300-000006220000}"/>
            </a:ext>
          </a:extLst>
        </xdr:cNvPr>
        <xdr:cNvSpPr>
          <a:spLocks noChangeShapeType="1"/>
        </xdr:cNvSpPr>
      </xdr:nvSpPr>
      <xdr:spPr bwMode="auto">
        <a:xfrm flipV="1">
          <a:off x="3514725" y="2276475"/>
          <a:ext cx="295275" cy="30003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152400</xdr:colOff>
      <xdr:row>16</xdr:row>
      <xdr:rowOff>152400</xdr:rowOff>
    </xdr:to>
    <xdr:sp macro="" textlink="">
      <xdr:nvSpPr>
        <xdr:cNvPr id="8711" name="Triangle 8710">
          <a:extLst>
            <a:ext uri="{FF2B5EF4-FFF2-40B4-BE49-F238E27FC236}">
              <a16:creationId xmlns:a16="http://schemas.microsoft.com/office/drawing/2014/main" id="{00000000-0008-0000-0300-000007220000}"/>
            </a:ext>
          </a:extLst>
        </xdr:cNvPr>
        <xdr:cNvSpPr/>
      </xdr:nvSpPr>
      <xdr:spPr>
        <a:xfrm rot="16200000">
          <a:off x="7000875" y="32004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16</xdr:row>
      <xdr:rowOff>76200</xdr:rowOff>
    </xdr:from>
    <xdr:to>
      <xdr:col>19</xdr:col>
      <xdr:colOff>0</xdr:colOff>
      <xdr:row>16</xdr:row>
      <xdr:rowOff>76200</xdr:rowOff>
    </xdr:to>
    <xdr:sp macro="" textlink="">
      <xdr:nvSpPr>
        <xdr:cNvPr id="8712" name="Line 397">
          <a:extLst>
            <a:ext uri="{FF2B5EF4-FFF2-40B4-BE49-F238E27FC236}">
              <a16:creationId xmlns:a16="http://schemas.microsoft.com/office/drawing/2014/main" id="{00000000-0008-0000-0300-000008220000}"/>
            </a:ext>
          </a:extLst>
        </xdr:cNvPr>
        <xdr:cNvSpPr>
          <a:spLocks noChangeShapeType="1"/>
        </xdr:cNvSpPr>
      </xdr:nvSpPr>
      <xdr:spPr bwMode="auto">
        <a:xfrm>
          <a:off x="7153275" y="3276600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16</xdr:row>
      <xdr:rowOff>76200</xdr:rowOff>
    </xdr:from>
    <xdr:to>
      <xdr:col>15</xdr:col>
      <xdr:colOff>0</xdr:colOff>
      <xdr:row>16</xdr:row>
      <xdr:rowOff>76200</xdr:rowOff>
    </xdr:to>
    <xdr:sp macro="" textlink="">
      <xdr:nvSpPr>
        <xdr:cNvPr id="8713" name="Line 398">
          <a:extLst>
            <a:ext uri="{FF2B5EF4-FFF2-40B4-BE49-F238E27FC236}">
              <a16:creationId xmlns:a16="http://schemas.microsoft.com/office/drawing/2014/main" id="{00000000-0008-0000-0300-000009220000}"/>
            </a:ext>
          </a:extLst>
        </xdr:cNvPr>
        <xdr:cNvSpPr>
          <a:spLocks noChangeShapeType="1"/>
        </xdr:cNvSpPr>
      </xdr:nvSpPr>
      <xdr:spPr bwMode="auto">
        <a:xfrm>
          <a:off x="5629275" y="32766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11</xdr:row>
      <xdr:rowOff>76200</xdr:rowOff>
    </xdr:from>
    <xdr:to>
      <xdr:col>13</xdr:col>
      <xdr:colOff>0</xdr:colOff>
      <xdr:row>16</xdr:row>
      <xdr:rowOff>76200</xdr:rowOff>
    </xdr:to>
    <xdr:sp macro="" textlink="">
      <xdr:nvSpPr>
        <xdr:cNvPr id="8714" name="Line 399">
          <a:extLst>
            <a:ext uri="{FF2B5EF4-FFF2-40B4-BE49-F238E27FC236}">
              <a16:creationId xmlns:a16="http://schemas.microsoft.com/office/drawing/2014/main" id="{00000000-0008-0000-0300-00000A220000}"/>
            </a:ext>
          </a:extLst>
        </xdr:cNvPr>
        <xdr:cNvSpPr>
          <a:spLocks noChangeShapeType="1"/>
        </xdr:cNvSpPr>
      </xdr:nvSpPr>
      <xdr:spPr bwMode="auto">
        <a:xfrm>
          <a:off x="5334000" y="227647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152400</xdr:colOff>
      <xdr:row>26</xdr:row>
      <xdr:rowOff>152400</xdr:rowOff>
    </xdr:to>
    <xdr:sp macro="" textlink="">
      <xdr:nvSpPr>
        <xdr:cNvPr id="8715" name="Circle 8714">
          <a:extLst>
            <a:ext uri="{FF2B5EF4-FFF2-40B4-BE49-F238E27FC236}">
              <a16:creationId xmlns:a16="http://schemas.microsoft.com/office/drawing/2014/main" id="{00000000-0008-0000-0300-00000B220000}"/>
            </a:ext>
          </a:extLst>
        </xdr:cNvPr>
        <xdr:cNvSpPr/>
      </xdr:nvSpPr>
      <xdr:spPr>
        <a:xfrm>
          <a:off x="5181600" y="5200650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26</xdr:row>
      <xdr:rowOff>76200</xdr:rowOff>
    </xdr:from>
    <xdr:to>
      <xdr:col>11</xdr:col>
      <xdr:colOff>0</xdr:colOff>
      <xdr:row>26</xdr:row>
      <xdr:rowOff>76200</xdr:rowOff>
    </xdr:to>
    <xdr:sp macro="" textlink="">
      <xdr:nvSpPr>
        <xdr:cNvPr id="8716" name="Line 400">
          <a:extLst>
            <a:ext uri="{FF2B5EF4-FFF2-40B4-BE49-F238E27FC236}">
              <a16:creationId xmlns:a16="http://schemas.microsoft.com/office/drawing/2014/main" id="{00000000-0008-0000-0300-00000C220000}"/>
            </a:ext>
          </a:extLst>
        </xdr:cNvPr>
        <xdr:cNvSpPr>
          <a:spLocks noChangeShapeType="1"/>
        </xdr:cNvSpPr>
      </xdr:nvSpPr>
      <xdr:spPr bwMode="auto">
        <a:xfrm>
          <a:off x="3810000" y="52768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152400</xdr:colOff>
      <xdr:row>26</xdr:row>
      <xdr:rowOff>76200</xdr:rowOff>
    </xdr:from>
    <xdr:to>
      <xdr:col>9</xdr:col>
      <xdr:colOff>0</xdr:colOff>
      <xdr:row>26</xdr:row>
      <xdr:rowOff>76200</xdr:rowOff>
    </xdr:to>
    <xdr:sp macro="" textlink="">
      <xdr:nvSpPr>
        <xdr:cNvPr id="8717" name="Line 401">
          <a:extLst>
            <a:ext uri="{FF2B5EF4-FFF2-40B4-BE49-F238E27FC236}">
              <a16:creationId xmlns:a16="http://schemas.microsoft.com/office/drawing/2014/main" id="{00000000-0008-0000-0300-00000D220000}"/>
            </a:ext>
          </a:extLst>
        </xdr:cNvPr>
        <xdr:cNvSpPr>
          <a:spLocks noChangeShapeType="1"/>
        </xdr:cNvSpPr>
      </xdr:nvSpPr>
      <xdr:spPr bwMode="auto">
        <a:xfrm>
          <a:off x="3514725" y="527685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152400</xdr:colOff>
      <xdr:row>6</xdr:row>
      <xdr:rowOff>152400</xdr:rowOff>
    </xdr:to>
    <xdr:sp macro="" textlink="">
      <xdr:nvSpPr>
        <xdr:cNvPr id="8718" name="Triangle 8717">
          <a:extLst>
            <a:ext uri="{FF2B5EF4-FFF2-40B4-BE49-F238E27FC236}">
              <a16:creationId xmlns:a16="http://schemas.microsoft.com/office/drawing/2014/main" id="{00000000-0008-0000-0300-00000E220000}"/>
            </a:ext>
          </a:extLst>
        </xdr:cNvPr>
        <xdr:cNvSpPr/>
      </xdr:nvSpPr>
      <xdr:spPr>
        <a:xfrm rot="16200000">
          <a:off x="7000875" y="12001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6</xdr:row>
      <xdr:rowOff>76200</xdr:rowOff>
    </xdr:from>
    <xdr:to>
      <xdr:col>19</xdr:col>
      <xdr:colOff>0</xdr:colOff>
      <xdr:row>6</xdr:row>
      <xdr:rowOff>76200</xdr:rowOff>
    </xdr:to>
    <xdr:sp macro="" textlink="">
      <xdr:nvSpPr>
        <xdr:cNvPr id="8719" name="Line 402">
          <a:extLst>
            <a:ext uri="{FF2B5EF4-FFF2-40B4-BE49-F238E27FC236}">
              <a16:creationId xmlns:a16="http://schemas.microsoft.com/office/drawing/2014/main" id="{00000000-0008-0000-0300-00000F220000}"/>
            </a:ext>
          </a:extLst>
        </xdr:cNvPr>
        <xdr:cNvSpPr>
          <a:spLocks noChangeShapeType="1"/>
        </xdr:cNvSpPr>
      </xdr:nvSpPr>
      <xdr:spPr bwMode="auto">
        <a:xfrm>
          <a:off x="7153275" y="1276350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6</xdr:row>
      <xdr:rowOff>76200</xdr:rowOff>
    </xdr:from>
    <xdr:to>
      <xdr:col>15</xdr:col>
      <xdr:colOff>0</xdr:colOff>
      <xdr:row>6</xdr:row>
      <xdr:rowOff>76200</xdr:rowOff>
    </xdr:to>
    <xdr:sp macro="" textlink="">
      <xdr:nvSpPr>
        <xdr:cNvPr id="8720" name="Line 403">
          <a:extLst>
            <a:ext uri="{FF2B5EF4-FFF2-40B4-BE49-F238E27FC236}">
              <a16:creationId xmlns:a16="http://schemas.microsoft.com/office/drawing/2014/main" id="{00000000-0008-0000-0300-000010220000}"/>
            </a:ext>
          </a:extLst>
        </xdr:cNvPr>
        <xdr:cNvSpPr>
          <a:spLocks noChangeShapeType="1"/>
        </xdr:cNvSpPr>
      </xdr:nvSpPr>
      <xdr:spPr bwMode="auto">
        <a:xfrm>
          <a:off x="5629275" y="12763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6</xdr:row>
      <xdr:rowOff>76200</xdr:rowOff>
    </xdr:from>
    <xdr:to>
      <xdr:col>13</xdr:col>
      <xdr:colOff>0</xdr:colOff>
      <xdr:row>11</xdr:row>
      <xdr:rowOff>76200</xdr:rowOff>
    </xdr:to>
    <xdr:sp macro="" textlink="">
      <xdr:nvSpPr>
        <xdr:cNvPr id="8721" name="Line 404">
          <a:extLst>
            <a:ext uri="{FF2B5EF4-FFF2-40B4-BE49-F238E27FC236}">
              <a16:creationId xmlns:a16="http://schemas.microsoft.com/office/drawing/2014/main" id="{00000000-0008-0000-0300-000011220000}"/>
            </a:ext>
          </a:extLst>
        </xdr:cNvPr>
        <xdr:cNvSpPr>
          <a:spLocks noChangeShapeType="1"/>
        </xdr:cNvSpPr>
      </xdr:nvSpPr>
      <xdr:spPr bwMode="auto">
        <a:xfrm flipV="1">
          <a:off x="5334000" y="127635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152400</xdr:colOff>
      <xdr:row>11</xdr:row>
      <xdr:rowOff>152400</xdr:rowOff>
    </xdr:to>
    <xdr:sp macro="" textlink="">
      <xdr:nvSpPr>
        <xdr:cNvPr id="8722" name="Triangle 8721">
          <a:extLst>
            <a:ext uri="{FF2B5EF4-FFF2-40B4-BE49-F238E27FC236}">
              <a16:creationId xmlns:a16="http://schemas.microsoft.com/office/drawing/2014/main" id="{00000000-0008-0000-0300-000012220000}"/>
            </a:ext>
          </a:extLst>
        </xdr:cNvPr>
        <xdr:cNvSpPr/>
      </xdr:nvSpPr>
      <xdr:spPr>
        <a:xfrm rot="16200000">
          <a:off x="7000875" y="22002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11</xdr:row>
      <xdr:rowOff>76200</xdr:rowOff>
    </xdr:from>
    <xdr:to>
      <xdr:col>19</xdr:col>
      <xdr:colOff>0</xdr:colOff>
      <xdr:row>11</xdr:row>
      <xdr:rowOff>76200</xdr:rowOff>
    </xdr:to>
    <xdr:sp macro="" textlink="">
      <xdr:nvSpPr>
        <xdr:cNvPr id="8723" name="Line 405">
          <a:extLst>
            <a:ext uri="{FF2B5EF4-FFF2-40B4-BE49-F238E27FC236}">
              <a16:creationId xmlns:a16="http://schemas.microsoft.com/office/drawing/2014/main" id="{00000000-0008-0000-0300-000013220000}"/>
            </a:ext>
          </a:extLst>
        </xdr:cNvPr>
        <xdr:cNvSpPr>
          <a:spLocks noChangeShapeType="1"/>
        </xdr:cNvSpPr>
      </xdr:nvSpPr>
      <xdr:spPr bwMode="auto">
        <a:xfrm>
          <a:off x="7153275" y="2276475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11</xdr:row>
      <xdr:rowOff>76200</xdr:rowOff>
    </xdr:from>
    <xdr:to>
      <xdr:col>15</xdr:col>
      <xdr:colOff>0</xdr:colOff>
      <xdr:row>11</xdr:row>
      <xdr:rowOff>76200</xdr:rowOff>
    </xdr:to>
    <xdr:sp macro="" textlink="">
      <xdr:nvSpPr>
        <xdr:cNvPr id="8724" name="Line 406">
          <a:extLst>
            <a:ext uri="{FF2B5EF4-FFF2-40B4-BE49-F238E27FC236}">
              <a16:creationId xmlns:a16="http://schemas.microsoft.com/office/drawing/2014/main" id="{00000000-0008-0000-0300-000014220000}"/>
            </a:ext>
          </a:extLst>
        </xdr:cNvPr>
        <xdr:cNvSpPr>
          <a:spLocks noChangeShapeType="1"/>
        </xdr:cNvSpPr>
      </xdr:nvSpPr>
      <xdr:spPr bwMode="auto">
        <a:xfrm>
          <a:off x="5629275" y="22764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11</xdr:row>
      <xdr:rowOff>76200</xdr:rowOff>
    </xdr:from>
    <xdr:to>
      <xdr:col>13</xdr:col>
      <xdr:colOff>0</xdr:colOff>
      <xdr:row>11</xdr:row>
      <xdr:rowOff>76200</xdr:rowOff>
    </xdr:to>
    <xdr:sp macro="" textlink="">
      <xdr:nvSpPr>
        <xdr:cNvPr id="8725" name="Line 407">
          <a:extLst>
            <a:ext uri="{FF2B5EF4-FFF2-40B4-BE49-F238E27FC236}">
              <a16:creationId xmlns:a16="http://schemas.microsoft.com/office/drawing/2014/main" id="{00000000-0008-0000-0300-000015220000}"/>
            </a:ext>
          </a:extLst>
        </xdr:cNvPr>
        <xdr:cNvSpPr>
          <a:spLocks noChangeShapeType="1"/>
        </xdr:cNvSpPr>
      </xdr:nvSpPr>
      <xdr:spPr bwMode="auto">
        <a:xfrm>
          <a:off x="5334000" y="2276475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152400</xdr:colOff>
      <xdr:row>41</xdr:row>
      <xdr:rowOff>152400</xdr:rowOff>
    </xdr:to>
    <xdr:sp macro="" textlink="">
      <xdr:nvSpPr>
        <xdr:cNvPr id="8726" name="Circle 8725">
          <a:extLst>
            <a:ext uri="{FF2B5EF4-FFF2-40B4-BE49-F238E27FC236}">
              <a16:creationId xmlns:a16="http://schemas.microsoft.com/office/drawing/2014/main" id="{00000000-0008-0000-0300-000016220000}"/>
            </a:ext>
          </a:extLst>
        </xdr:cNvPr>
        <xdr:cNvSpPr/>
      </xdr:nvSpPr>
      <xdr:spPr>
        <a:xfrm>
          <a:off x="5181600" y="8201025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41</xdr:row>
      <xdr:rowOff>76200</xdr:rowOff>
    </xdr:from>
    <xdr:to>
      <xdr:col>11</xdr:col>
      <xdr:colOff>0</xdr:colOff>
      <xdr:row>41</xdr:row>
      <xdr:rowOff>76200</xdr:rowOff>
    </xdr:to>
    <xdr:sp macro="" textlink="">
      <xdr:nvSpPr>
        <xdr:cNvPr id="8727" name="Line 408">
          <a:extLst>
            <a:ext uri="{FF2B5EF4-FFF2-40B4-BE49-F238E27FC236}">
              <a16:creationId xmlns:a16="http://schemas.microsoft.com/office/drawing/2014/main" id="{00000000-0008-0000-0300-000017220000}"/>
            </a:ext>
          </a:extLst>
        </xdr:cNvPr>
        <xdr:cNvSpPr>
          <a:spLocks noChangeShapeType="1"/>
        </xdr:cNvSpPr>
      </xdr:nvSpPr>
      <xdr:spPr bwMode="auto">
        <a:xfrm>
          <a:off x="3810000" y="82772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152400</xdr:colOff>
      <xdr:row>26</xdr:row>
      <xdr:rowOff>76200</xdr:rowOff>
    </xdr:from>
    <xdr:to>
      <xdr:col>9</xdr:col>
      <xdr:colOff>0</xdr:colOff>
      <xdr:row>41</xdr:row>
      <xdr:rowOff>76200</xdr:rowOff>
    </xdr:to>
    <xdr:sp macro="" textlink="">
      <xdr:nvSpPr>
        <xdr:cNvPr id="8728" name="Line 409">
          <a:extLst>
            <a:ext uri="{FF2B5EF4-FFF2-40B4-BE49-F238E27FC236}">
              <a16:creationId xmlns:a16="http://schemas.microsoft.com/office/drawing/2014/main" id="{00000000-0008-0000-0300-000018220000}"/>
            </a:ext>
          </a:extLst>
        </xdr:cNvPr>
        <xdr:cNvSpPr>
          <a:spLocks noChangeShapeType="1"/>
        </xdr:cNvSpPr>
      </xdr:nvSpPr>
      <xdr:spPr bwMode="auto">
        <a:xfrm>
          <a:off x="3514725" y="5276850"/>
          <a:ext cx="295275" cy="30003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152400</xdr:colOff>
      <xdr:row>31</xdr:row>
      <xdr:rowOff>152400</xdr:rowOff>
    </xdr:to>
    <xdr:sp macro="" textlink="">
      <xdr:nvSpPr>
        <xdr:cNvPr id="8729" name="Triangle 8728">
          <a:extLst>
            <a:ext uri="{FF2B5EF4-FFF2-40B4-BE49-F238E27FC236}">
              <a16:creationId xmlns:a16="http://schemas.microsoft.com/office/drawing/2014/main" id="{00000000-0008-0000-0300-000019220000}"/>
            </a:ext>
          </a:extLst>
        </xdr:cNvPr>
        <xdr:cNvSpPr/>
      </xdr:nvSpPr>
      <xdr:spPr>
        <a:xfrm rot="16200000">
          <a:off x="7000875" y="62007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31</xdr:row>
      <xdr:rowOff>76200</xdr:rowOff>
    </xdr:from>
    <xdr:to>
      <xdr:col>19</xdr:col>
      <xdr:colOff>0</xdr:colOff>
      <xdr:row>31</xdr:row>
      <xdr:rowOff>76200</xdr:rowOff>
    </xdr:to>
    <xdr:sp macro="" textlink="">
      <xdr:nvSpPr>
        <xdr:cNvPr id="8730" name="Line 410">
          <a:extLst>
            <a:ext uri="{FF2B5EF4-FFF2-40B4-BE49-F238E27FC236}">
              <a16:creationId xmlns:a16="http://schemas.microsoft.com/office/drawing/2014/main" id="{00000000-0008-0000-0300-00001A220000}"/>
            </a:ext>
          </a:extLst>
        </xdr:cNvPr>
        <xdr:cNvSpPr>
          <a:spLocks noChangeShapeType="1"/>
        </xdr:cNvSpPr>
      </xdr:nvSpPr>
      <xdr:spPr bwMode="auto">
        <a:xfrm>
          <a:off x="7153275" y="6276975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31</xdr:row>
      <xdr:rowOff>76200</xdr:rowOff>
    </xdr:from>
    <xdr:to>
      <xdr:col>15</xdr:col>
      <xdr:colOff>0</xdr:colOff>
      <xdr:row>31</xdr:row>
      <xdr:rowOff>76200</xdr:rowOff>
    </xdr:to>
    <xdr:sp macro="" textlink="">
      <xdr:nvSpPr>
        <xdr:cNvPr id="8731" name="Line 411">
          <a:extLst>
            <a:ext uri="{FF2B5EF4-FFF2-40B4-BE49-F238E27FC236}">
              <a16:creationId xmlns:a16="http://schemas.microsoft.com/office/drawing/2014/main" id="{00000000-0008-0000-0300-00001B220000}"/>
            </a:ext>
          </a:extLst>
        </xdr:cNvPr>
        <xdr:cNvSpPr>
          <a:spLocks noChangeShapeType="1"/>
        </xdr:cNvSpPr>
      </xdr:nvSpPr>
      <xdr:spPr bwMode="auto">
        <a:xfrm>
          <a:off x="5629275" y="62769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26</xdr:row>
      <xdr:rowOff>76200</xdr:rowOff>
    </xdr:from>
    <xdr:to>
      <xdr:col>13</xdr:col>
      <xdr:colOff>0</xdr:colOff>
      <xdr:row>31</xdr:row>
      <xdr:rowOff>76200</xdr:rowOff>
    </xdr:to>
    <xdr:sp macro="" textlink="">
      <xdr:nvSpPr>
        <xdr:cNvPr id="8732" name="Line 412">
          <a:extLst>
            <a:ext uri="{FF2B5EF4-FFF2-40B4-BE49-F238E27FC236}">
              <a16:creationId xmlns:a16="http://schemas.microsoft.com/office/drawing/2014/main" id="{00000000-0008-0000-0300-00001C220000}"/>
            </a:ext>
          </a:extLst>
        </xdr:cNvPr>
        <xdr:cNvSpPr>
          <a:spLocks noChangeShapeType="1"/>
        </xdr:cNvSpPr>
      </xdr:nvSpPr>
      <xdr:spPr bwMode="auto">
        <a:xfrm>
          <a:off x="5334000" y="527685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152400</xdr:colOff>
      <xdr:row>21</xdr:row>
      <xdr:rowOff>152400</xdr:rowOff>
    </xdr:to>
    <xdr:sp macro="" textlink="">
      <xdr:nvSpPr>
        <xdr:cNvPr id="8733" name="Triangle 8732">
          <a:extLst>
            <a:ext uri="{FF2B5EF4-FFF2-40B4-BE49-F238E27FC236}">
              <a16:creationId xmlns:a16="http://schemas.microsoft.com/office/drawing/2014/main" id="{00000000-0008-0000-0300-00001D220000}"/>
            </a:ext>
          </a:extLst>
        </xdr:cNvPr>
        <xdr:cNvSpPr/>
      </xdr:nvSpPr>
      <xdr:spPr>
        <a:xfrm rot="16200000">
          <a:off x="7000875" y="420052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21</xdr:row>
      <xdr:rowOff>76200</xdr:rowOff>
    </xdr:from>
    <xdr:to>
      <xdr:col>19</xdr:col>
      <xdr:colOff>0</xdr:colOff>
      <xdr:row>21</xdr:row>
      <xdr:rowOff>76200</xdr:rowOff>
    </xdr:to>
    <xdr:sp macro="" textlink="">
      <xdr:nvSpPr>
        <xdr:cNvPr id="8734" name="Line 413">
          <a:extLst>
            <a:ext uri="{FF2B5EF4-FFF2-40B4-BE49-F238E27FC236}">
              <a16:creationId xmlns:a16="http://schemas.microsoft.com/office/drawing/2014/main" id="{00000000-0008-0000-0300-00001E220000}"/>
            </a:ext>
          </a:extLst>
        </xdr:cNvPr>
        <xdr:cNvSpPr>
          <a:spLocks noChangeShapeType="1"/>
        </xdr:cNvSpPr>
      </xdr:nvSpPr>
      <xdr:spPr bwMode="auto">
        <a:xfrm>
          <a:off x="7153275" y="4276725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21</xdr:row>
      <xdr:rowOff>76200</xdr:rowOff>
    </xdr:from>
    <xdr:to>
      <xdr:col>15</xdr:col>
      <xdr:colOff>0</xdr:colOff>
      <xdr:row>21</xdr:row>
      <xdr:rowOff>76200</xdr:rowOff>
    </xdr:to>
    <xdr:sp macro="" textlink="">
      <xdr:nvSpPr>
        <xdr:cNvPr id="8735" name="Line 414">
          <a:extLst>
            <a:ext uri="{FF2B5EF4-FFF2-40B4-BE49-F238E27FC236}">
              <a16:creationId xmlns:a16="http://schemas.microsoft.com/office/drawing/2014/main" id="{00000000-0008-0000-0300-00001F220000}"/>
            </a:ext>
          </a:extLst>
        </xdr:cNvPr>
        <xdr:cNvSpPr>
          <a:spLocks noChangeShapeType="1"/>
        </xdr:cNvSpPr>
      </xdr:nvSpPr>
      <xdr:spPr bwMode="auto">
        <a:xfrm>
          <a:off x="5629275" y="42767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21</xdr:row>
      <xdr:rowOff>76200</xdr:rowOff>
    </xdr:from>
    <xdr:to>
      <xdr:col>13</xdr:col>
      <xdr:colOff>0</xdr:colOff>
      <xdr:row>26</xdr:row>
      <xdr:rowOff>76200</xdr:rowOff>
    </xdr:to>
    <xdr:sp macro="" textlink="">
      <xdr:nvSpPr>
        <xdr:cNvPr id="8736" name="Line 415">
          <a:extLst>
            <a:ext uri="{FF2B5EF4-FFF2-40B4-BE49-F238E27FC236}">
              <a16:creationId xmlns:a16="http://schemas.microsoft.com/office/drawing/2014/main" id="{00000000-0008-0000-0300-000020220000}"/>
            </a:ext>
          </a:extLst>
        </xdr:cNvPr>
        <xdr:cNvSpPr>
          <a:spLocks noChangeShapeType="1"/>
        </xdr:cNvSpPr>
      </xdr:nvSpPr>
      <xdr:spPr bwMode="auto">
        <a:xfrm flipV="1">
          <a:off x="5334000" y="427672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152400</xdr:colOff>
      <xdr:row>26</xdr:row>
      <xdr:rowOff>152400</xdr:rowOff>
    </xdr:to>
    <xdr:sp macro="" textlink="">
      <xdr:nvSpPr>
        <xdr:cNvPr id="8737" name="Triangle 8736">
          <a:extLst>
            <a:ext uri="{FF2B5EF4-FFF2-40B4-BE49-F238E27FC236}">
              <a16:creationId xmlns:a16="http://schemas.microsoft.com/office/drawing/2014/main" id="{00000000-0008-0000-0300-000021220000}"/>
            </a:ext>
          </a:extLst>
        </xdr:cNvPr>
        <xdr:cNvSpPr/>
      </xdr:nvSpPr>
      <xdr:spPr>
        <a:xfrm rot="16200000">
          <a:off x="7000875" y="52006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26</xdr:row>
      <xdr:rowOff>76200</xdr:rowOff>
    </xdr:from>
    <xdr:to>
      <xdr:col>19</xdr:col>
      <xdr:colOff>0</xdr:colOff>
      <xdr:row>26</xdr:row>
      <xdr:rowOff>76200</xdr:rowOff>
    </xdr:to>
    <xdr:sp macro="" textlink="">
      <xdr:nvSpPr>
        <xdr:cNvPr id="8738" name="Line 416">
          <a:extLst>
            <a:ext uri="{FF2B5EF4-FFF2-40B4-BE49-F238E27FC236}">
              <a16:creationId xmlns:a16="http://schemas.microsoft.com/office/drawing/2014/main" id="{00000000-0008-0000-0300-000022220000}"/>
            </a:ext>
          </a:extLst>
        </xdr:cNvPr>
        <xdr:cNvSpPr>
          <a:spLocks noChangeShapeType="1"/>
        </xdr:cNvSpPr>
      </xdr:nvSpPr>
      <xdr:spPr bwMode="auto">
        <a:xfrm>
          <a:off x="7153275" y="5276850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26</xdr:row>
      <xdr:rowOff>76200</xdr:rowOff>
    </xdr:from>
    <xdr:to>
      <xdr:col>15</xdr:col>
      <xdr:colOff>0</xdr:colOff>
      <xdr:row>26</xdr:row>
      <xdr:rowOff>76200</xdr:rowOff>
    </xdr:to>
    <xdr:sp macro="" textlink="">
      <xdr:nvSpPr>
        <xdr:cNvPr id="8739" name="Line 417">
          <a:extLst>
            <a:ext uri="{FF2B5EF4-FFF2-40B4-BE49-F238E27FC236}">
              <a16:creationId xmlns:a16="http://schemas.microsoft.com/office/drawing/2014/main" id="{00000000-0008-0000-0300-000023220000}"/>
            </a:ext>
          </a:extLst>
        </xdr:cNvPr>
        <xdr:cNvSpPr>
          <a:spLocks noChangeShapeType="1"/>
        </xdr:cNvSpPr>
      </xdr:nvSpPr>
      <xdr:spPr bwMode="auto">
        <a:xfrm>
          <a:off x="5629275" y="52768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26</xdr:row>
      <xdr:rowOff>76200</xdr:rowOff>
    </xdr:from>
    <xdr:to>
      <xdr:col>13</xdr:col>
      <xdr:colOff>0</xdr:colOff>
      <xdr:row>26</xdr:row>
      <xdr:rowOff>76200</xdr:rowOff>
    </xdr:to>
    <xdr:sp macro="" textlink="">
      <xdr:nvSpPr>
        <xdr:cNvPr id="8740" name="Line 418">
          <a:extLst>
            <a:ext uri="{FF2B5EF4-FFF2-40B4-BE49-F238E27FC236}">
              <a16:creationId xmlns:a16="http://schemas.microsoft.com/office/drawing/2014/main" id="{00000000-0008-0000-0300-000024220000}"/>
            </a:ext>
          </a:extLst>
        </xdr:cNvPr>
        <xdr:cNvSpPr>
          <a:spLocks noChangeShapeType="1"/>
        </xdr:cNvSpPr>
      </xdr:nvSpPr>
      <xdr:spPr bwMode="auto">
        <a:xfrm>
          <a:off x="5334000" y="527685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152400</xdr:colOff>
      <xdr:row>46</xdr:row>
      <xdr:rowOff>152400</xdr:rowOff>
    </xdr:to>
    <xdr:sp macro="" textlink="">
      <xdr:nvSpPr>
        <xdr:cNvPr id="8741" name="Triangle 8740">
          <a:extLst>
            <a:ext uri="{FF2B5EF4-FFF2-40B4-BE49-F238E27FC236}">
              <a16:creationId xmlns:a16="http://schemas.microsoft.com/office/drawing/2014/main" id="{00000000-0008-0000-0300-000025220000}"/>
            </a:ext>
          </a:extLst>
        </xdr:cNvPr>
        <xdr:cNvSpPr/>
      </xdr:nvSpPr>
      <xdr:spPr>
        <a:xfrm rot="16200000">
          <a:off x="7000875" y="92011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46</xdr:row>
      <xdr:rowOff>76200</xdr:rowOff>
    </xdr:from>
    <xdr:to>
      <xdr:col>19</xdr:col>
      <xdr:colOff>0</xdr:colOff>
      <xdr:row>46</xdr:row>
      <xdr:rowOff>76200</xdr:rowOff>
    </xdr:to>
    <xdr:sp macro="" textlink="">
      <xdr:nvSpPr>
        <xdr:cNvPr id="8742" name="Line 419">
          <a:extLst>
            <a:ext uri="{FF2B5EF4-FFF2-40B4-BE49-F238E27FC236}">
              <a16:creationId xmlns:a16="http://schemas.microsoft.com/office/drawing/2014/main" id="{00000000-0008-0000-0300-000026220000}"/>
            </a:ext>
          </a:extLst>
        </xdr:cNvPr>
        <xdr:cNvSpPr>
          <a:spLocks noChangeShapeType="1"/>
        </xdr:cNvSpPr>
      </xdr:nvSpPr>
      <xdr:spPr bwMode="auto">
        <a:xfrm>
          <a:off x="7153275" y="9277350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46</xdr:row>
      <xdr:rowOff>76200</xdr:rowOff>
    </xdr:from>
    <xdr:to>
      <xdr:col>15</xdr:col>
      <xdr:colOff>0</xdr:colOff>
      <xdr:row>46</xdr:row>
      <xdr:rowOff>76200</xdr:rowOff>
    </xdr:to>
    <xdr:sp macro="" textlink="">
      <xdr:nvSpPr>
        <xdr:cNvPr id="8743" name="Line 420">
          <a:extLst>
            <a:ext uri="{FF2B5EF4-FFF2-40B4-BE49-F238E27FC236}">
              <a16:creationId xmlns:a16="http://schemas.microsoft.com/office/drawing/2014/main" id="{00000000-0008-0000-0300-000027220000}"/>
            </a:ext>
          </a:extLst>
        </xdr:cNvPr>
        <xdr:cNvSpPr>
          <a:spLocks noChangeShapeType="1"/>
        </xdr:cNvSpPr>
      </xdr:nvSpPr>
      <xdr:spPr bwMode="auto">
        <a:xfrm>
          <a:off x="5629275" y="92773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41</xdr:row>
      <xdr:rowOff>76200</xdr:rowOff>
    </xdr:from>
    <xdr:to>
      <xdr:col>13</xdr:col>
      <xdr:colOff>0</xdr:colOff>
      <xdr:row>46</xdr:row>
      <xdr:rowOff>76200</xdr:rowOff>
    </xdr:to>
    <xdr:sp macro="" textlink="">
      <xdr:nvSpPr>
        <xdr:cNvPr id="8744" name="Line 421">
          <a:extLst>
            <a:ext uri="{FF2B5EF4-FFF2-40B4-BE49-F238E27FC236}">
              <a16:creationId xmlns:a16="http://schemas.microsoft.com/office/drawing/2014/main" id="{00000000-0008-0000-0300-000028220000}"/>
            </a:ext>
          </a:extLst>
        </xdr:cNvPr>
        <xdr:cNvSpPr>
          <a:spLocks noChangeShapeType="1"/>
        </xdr:cNvSpPr>
      </xdr:nvSpPr>
      <xdr:spPr bwMode="auto">
        <a:xfrm>
          <a:off x="5334000" y="827722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152400</xdr:colOff>
      <xdr:row>36</xdr:row>
      <xdr:rowOff>152400</xdr:rowOff>
    </xdr:to>
    <xdr:sp macro="" textlink="">
      <xdr:nvSpPr>
        <xdr:cNvPr id="8745" name="Triangle 8744">
          <a:extLst>
            <a:ext uri="{FF2B5EF4-FFF2-40B4-BE49-F238E27FC236}">
              <a16:creationId xmlns:a16="http://schemas.microsoft.com/office/drawing/2014/main" id="{00000000-0008-0000-0300-000029220000}"/>
            </a:ext>
          </a:extLst>
        </xdr:cNvPr>
        <xdr:cNvSpPr/>
      </xdr:nvSpPr>
      <xdr:spPr>
        <a:xfrm rot="16200000">
          <a:off x="7000875" y="72009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36</xdr:row>
      <xdr:rowOff>76200</xdr:rowOff>
    </xdr:from>
    <xdr:to>
      <xdr:col>19</xdr:col>
      <xdr:colOff>0</xdr:colOff>
      <xdr:row>36</xdr:row>
      <xdr:rowOff>76200</xdr:rowOff>
    </xdr:to>
    <xdr:sp macro="" textlink="">
      <xdr:nvSpPr>
        <xdr:cNvPr id="8746" name="Line 422">
          <a:extLst>
            <a:ext uri="{FF2B5EF4-FFF2-40B4-BE49-F238E27FC236}">
              <a16:creationId xmlns:a16="http://schemas.microsoft.com/office/drawing/2014/main" id="{00000000-0008-0000-0300-00002A220000}"/>
            </a:ext>
          </a:extLst>
        </xdr:cNvPr>
        <xdr:cNvSpPr>
          <a:spLocks noChangeShapeType="1"/>
        </xdr:cNvSpPr>
      </xdr:nvSpPr>
      <xdr:spPr bwMode="auto">
        <a:xfrm>
          <a:off x="7153275" y="7277100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36</xdr:row>
      <xdr:rowOff>76200</xdr:rowOff>
    </xdr:from>
    <xdr:to>
      <xdr:col>15</xdr:col>
      <xdr:colOff>0</xdr:colOff>
      <xdr:row>36</xdr:row>
      <xdr:rowOff>76200</xdr:rowOff>
    </xdr:to>
    <xdr:sp macro="" textlink="">
      <xdr:nvSpPr>
        <xdr:cNvPr id="8747" name="Line 423">
          <a:extLst>
            <a:ext uri="{FF2B5EF4-FFF2-40B4-BE49-F238E27FC236}">
              <a16:creationId xmlns:a16="http://schemas.microsoft.com/office/drawing/2014/main" id="{00000000-0008-0000-0300-00002B220000}"/>
            </a:ext>
          </a:extLst>
        </xdr:cNvPr>
        <xdr:cNvSpPr>
          <a:spLocks noChangeShapeType="1"/>
        </xdr:cNvSpPr>
      </xdr:nvSpPr>
      <xdr:spPr bwMode="auto">
        <a:xfrm>
          <a:off x="5629275" y="72771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36</xdr:row>
      <xdr:rowOff>76200</xdr:rowOff>
    </xdr:from>
    <xdr:to>
      <xdr:col>13</xdr:col>
      <xdr:colOff>0</xdr:colOff>
      <xdr:row>41</xdr:row>
      <xdr:rowOff>76200</xdr:rowOff>
    </xdr:to>
    <xdr:sp macro="" textlink="">
      <xdr:nvSpPr>
        <xdr:cNvPr id="8748" name="Line 424">
          <a:extLst>
            <a:ext uri="{FF2B5EF4-FFF2-40B4-BE49-F238E27FC236}">
              <a16:creationId xmlns:a16="http://schemas.microsoft.com/office/drawing/2014/main" id="{00000000-0008-0000-0300-00002C220000}"/>
            </a:ext>
          </a:extLst>
        </xdr:cNvPr>
        <xdr:cNvSpPr>
          <a:spLocks noChangeShapeType="1"/>
        </xdr:cNvSpPr>
      </xdr:nvSpPr>
      <xdr:spPr bwMode="auto">
        <a:xfrm flipV="1">
          <a:off x="5334000" y="727710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152400</xdr:colOff>
      <xdr:row>41</xdr:row>
      <xdr:rowOff>152400</xdr:rowOff>
    </xdr:to>
    <xdr:sp macro="" textlink="">
      <xdr:nvSpPr>
        <xdr:cNvPr id="8749" name="Triangle 8748">
          <a:extLst>
            <a:ext uri="{FF2B5EF4-FFF2-40B4-BE49-F238E27FC236}">
              <a16:creationId xmlns:a16="http://schemas.microsoft.com/office/drawing/2014/main" id="{00000000-0008-0000-0300-00002D220000}"/>
            </a:ext>
          </a:extLst>
        </xdr:cNvPr>
        <xdr:cNvSpPr/>
      </xdr:nvSpPr>
      <xdr:spPr>
        <a:xfrm rot="16200000">
          <a:off x="7000875" y="820102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41</xdr:row>
      <xdr:rowOff>76200</xdr:rowOff>
    </xdr:from>
    <xdr:to>
      <xdr:col>19</xdr:col>
      <xdr:colOff>0</xdr:colOff>
      <xdr:row>41</xdr:row>
      <xdr:rowOff>76200</xdr:rowOff>
    </xdr:to>
    <xdr:sp macro="" textlink="">
      <xdr:nvSpPr>
        <xdr:cNvPr id="8750" name="Line 425">
          <a:extLst>
            <a:ext uri="{FF2B5EF4-FFF2-40B4-BE49-F238E27FC236}">
              <a16:creationId xmlns:a16="http://schemas.microsoft.com/office/drawing/2014/main" id="{00000000-0008-0000-0300-00002E220000}"/>
            </a:ext>
          </a:extLst>
        </xdr:cNvPr>
        <xdr:cNvSpPr>
          <a:spLocks noChangeShapeType="1"/>
        </xdr:cNvSpPr>
      </xdr:nvSpPr>
      <xdr:spPr bwMode="auto">
        <a:xfrm>
          <a:off x="7153275" y="8277225"/>
          <a:ext cx="1666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41</xdr:row>
      <xdr:rowOff>76200</xdr:rowOff>
    </xdr:from>
    <xdr:to>
      <xdr:col>15</xdr:col>
      <xdr:colOff>0</xdr:colOff>
      <xdr:row>41</xdr:row>
      <xdr:rowOff>76200</xdr:rowOff>
    </xdr:to>
    <xdr:sp macro="" textlink="">
      <xdr:nvSpPr>
        <xdr:cNvPr id="8751" name="Line 426">
          <a:extLst>
            <a:ext uri="{FF2B5EF4-FFF2-40B4-BE49-F238E27FC236}">
              <a16:creationId xmlns:a16="http://schemas.microsoft.com/office/drawing/2014/main" id="{00000000-0008-0000-0300-00002F220000}"/>
            </a:ext>
          </a:extLst>
        </xdr:cNvPr>
        <xdr:cNvSpPr>
          <a:spLocks noChangeShapeType="1"/>
        </xdr:cNvSpPr>
      </xdr:nvSpPr>
      <xdr:spPr bwMode="auto">
        <a:xfrm>
          <a:off x="5629275" y="82772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41</xdr:row>
      <xdr:rowOff>76200</xdr:rowOff>
    </xdr:from>
    <xdr:to>
      <xdr:col>13</xdr:col>
      <xdr:colOff>0</xdr:colOff>
      <xdr:row>41</xdr:row>
      <xdr:rowOff>76200</xdr:rowOff>
    </xdr:to>
    <xdr:sp macro="" textlink="">
      <xdr:nvSpPr>
        <xdr:cNvPr id="8752" name="Line 427">
          <a:extLst>
            <a:ext uri="{FF2B5EF4-FFF2-40B4-BE49-F238E27FC236}">
              <a16:creationId xmlns:a16="http://schemas.microsoft.com/office/drawing/2014/main" id="{00000000-0008-0000-0300-000030220000}"/>
            </a:ext>
          </a:extLst>
        </xdr:cNvPr>
        <xdr:cNvSpPr>
          <a:spLocks noChangeShapeType="1"/>
        </xdr:cNvSpPr>
      </xdr:nvSpPr>
      <xdr:spPr bwMode="auto">
        <a:xfrm>
          <a:off x="5334000" y="8277225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11</xdr:col>
      <xdr:colOff>0</xdr:colOff>
      <xdr:row>71</xdr:row>
      <xdr:rowOff>0</xdr:rowOff>
    </xdr:from>
    <xdr:to>
      <xdr:col>11</xdr:col>
      <xdr:colOff>152400</xdr:colOff>
      <xdr:row>71</xdr:row>
      <xdr:rowOff>152400</xdr:rowOff>
    </xdr:to>
    <xdr:sp macro="" textlink="">
      <xdr:nvSpPr>
        <xdr:cNvPr id="8753" name="Square 8752">
          <a:extLst>
            <a:ext uri="{FF2B5EF4-FFF2-40B4-BE49-F238E27FC236}">
              <a16:creationId xmlns:a16="http://schemas.microsoft.com/office/drawing/2014/main" id="{00000000-0008-0000-0300-000031220000}"/>
            </a:ext>
          </a:extLst>
        </xdr:cNvPr>
        <xdr:cNvSpPr/>
      </xdr:nvSpPr>
      <xdr:spPr>
        <a:xfrm>
          <a:off x="5181600" y="14201775"/>
          <a:ext cx="152400" cy="152400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76200</xdr:rowOff>
    </xdr:from>
    <xdr:to>
      <xdr:col>11</xdr:col>
      <xdr:colOff>0</xdr:colOff>
      <xdr:row>71</xdr:row>
      <xdr:rowOff>76200</xdr:rowOff>
    </xdr:to>
    <xdr:sp macro="" textlink="">
      <xdr:nvSpPr>
        <xdr:cNvPr id="8754" name="Line 428">
          <a:extLst>
            <a:ext uri="{FF2B5EF4-FFF2-40B4-BE49-F238E27FC236}">
              <a16:creationId xmlns:a16="http://schemas.microsoft.com/office/drawing/2014/main" id="{00000000-0008-0000-0300-000032220000}"/>
            </a:ext>
          </a:extLst>
        </xdr:cNvPr>
        <xdr:cNvSpPr>
          <a:spLocks noChangeShapeType="1"/>
        </xdr:cNvSpPr>
      </xdr:nvSpPr>
      <xdr:spPr bwMode="auto">
        <a:xfrm>
          <a:off x="3810000" y="142779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152400</xdr:colOff>
      <xdr:row>71</xdr:row>
      <xdr:rowOff>76200</xdr:rowOff>
    </xdr:from>
    <xdr:to>
      <xdr:col>9</xdr:col>
      <xdr:colOff>0</xdr:colOff>
      <xdr:row>93</xdr:row>
      <xdr:rowOff>76200</xdr:rowOff>
    </xdr:to>
    <xdr:sp macro="" textlink="">
      <xdr:nvSpPr>
        <xdr:cNvPr id="8755" name="Line 429">
          <a:extLst>
            <a:ext uri="{FF2B5EF4-FFF2-40B4-BE49-F238E27FC236}">
              <a16:creationId xmlns:a16="http://schemas.microsoft.com/office/drawing/2014/main" id="{00000000-0008-0000-0300-000033220000}"/>
            </a:ext>
          </a:extLst>
        </xdr:cNvPr>
        <xdr:cNvSpPr>
          <a:spLocks noChangeShapeType="1"/>
        </xdr:cNvSpPr>
      </xdr:nvSpPr>
      <xdr:spPr bwMode="auto">
        <a:xfrm flipV="1">
          <a:off x="3514725" y="14277975"/>
          <a:ext cx="295275" cy="44005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152400</xdr:colOff>
      <xdr:row>116</xdr:row>
      <xdr:rowOff>152400</xdr:rowOff>
    </xdr:to>
    <xdr:sp macro="" textlink="">
      <xdr:nvSpPr>
        <xdr:cNvPr id="8756" name="Square 8755">
          <a:extLst>
            <a:ext uri="{FF2B5EF4-FFF2-40B4-BE49-F238E27FC236}">
              <a16:creationId xmlns:a16="http://schemas.microsoft.com/office/drawing/2014/main" id="{00000000-0008-0000-0300-000034220000}"/>
            </a:ext>
          </a:extLst>
        </xdr:cNvPr>
        <xdr:cNvSpPr/>
      </xdr:nvSpPr>
      <xdr:spPr>
        <a:xfrm>
          <a:off x="5181600" y="23202900"/>
          <a:ext cx="152400" cy="152400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116</xdr:row>
      <xdr:rowOff>76200</xdr:rowOff>
    </xdr:from>
    <xdr:to>
      <xdr:col>11</xdr:col>
      <xdr:colOff>0</xdr:colOff>
      <xdr:row>116</xdr:row>
      <xdr:rowOff>76200</xdr:rowOff>
    </xdr:to>
    <xdr:sp macro="" textlink="">
      <xdr:nvSpPr>
        <xdr:cNvPr id="8757" name="Line 430">
          <a:extLst>
            <a:ext uri="{FF2B5EF4-FFF2-40B4-BE49-F238E27FC236}">
              <a16:creationId xmlns:a16="http://schemas.microsoft.com/office/drawing/2014/main" id="{00000000-0008-0000-0300-000035220000}"/>
            </a:ext>
          </a:extLst>
        </xdr:cNvPr>
        <xdr:cNvSpPr>
          <a:spLocks noChangeShapeType="1"/>
        </xdr:cNvSpPr>
      </xdr:nvSpPr>
      <xdr:spPr bwMode="auto">
        <a:xfrm>
          <a:off x="3810000" y="232791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152400</xdr:colOff>
      <xdr:row>93</xdr:row>
      <xdr:rowOff>76200</xdr:rowOff>
    </xdr:from>
    <xdr:to>
      <xdr:col>9</xdr:col>
      <xdr:colOff>0</xdr:colOff>
      <xdr:row>116</xdr:row>
      <xdr:rowOff>76200</xdr:rowOff>
    </xdr:to>
    <xdr:sp macro="" textlink="">
      <xdr:nvSpPr>
        <xdr:cNvPr id="8758" name="Line 431">
          <a:extLst>
            <a:ext uri="{FF2B5EF4-FFF2-40B4-BE49-F238E27FC236}">
              <a16:creationId xmlns:a16="http://schemas.microsoft.com/office/drawing/2014/main" id="{00000000-0008-0000-0300-000036220000}"/>
            </a:ext>
          </a:extLst>
        </xdr:cNvPr>
        <xdr:cNvSpPr>
          <a:spLocks noChangeShapeType="1"/>
        </xdr:cNvSpPr>
      </xdr:nvSpPr>
      <xdr:spPr bwMode="auto">
        <a:xfrm>
          <a:off x="3514725" y="18678525"/>
          <a:ext cx="295275" cy="46005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152400</xdr:colOff>
      <xdr:row>56</xdr:row>
      <xdr:rowOff>152400</xdr:rowOff>
    </xdr:to>
    <xdr:sp macro="" textlink="">
      <xdr:nvSpPr>
        <xdr:cNvPr id="8759" name="Circle 8758">
          <a:extLst>
            <a:ext uri="{FF2B5EF4-FFF2-40B4-BE49-F238E27FC236}">
              <a16:creationId xmlns:a16="http://schemas.microsoft.com/office/drawing/2014/main" id="{00000000-0008-0000-0300-000037220000}"/>
            </a:ext>
          </a:extLst>
        </xdr:cNvPr>
        <xdr:cNvSpPr/>
      </xdr:nvSpPr>
      <xdr:spPr>
        <a:xfrm>
          <a:off x="7000875" y="11201400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56</xdr:row>
      <xdr:rowOff>76200</xdr:rowOff>
    </xdr:from>
    <xdr:to>
      <xdr:col>15</xdr:col>
      <xdr:colOff>0</xdr:colOff>
      <xdr:row>56</xdr:row>
      <xdr:rowOff>76200</xdr:rowOff>
    </xdr:to>
    <xdr:sp macro="" textlink="">
      <xdr:nvSpPr>
        <xdr:cNvPr id="8760" name="Line 432">
          <a:extLst>
            <a:ext uri="{FF2B5EF4-FFF2-40B4-BE49-F238E27FC236}">
              <a16:creationId xmlns:a16="http://schemas.microsoft.com/office/drawing/2014/main" id="{00000000-0008-0000-0300-000038220000}"/>
            </a:ext>
          </a:extLst>
        </xdr:cNvPr>
        <xdr:cNvSpPr>
          <a:spLocks noChangeShapeType="1"/>
        </xdr:cNvSpPr>
      </xdr:nvSpPr>
      <xdr:spPr bwMode="auto">
        <a:xfrm>
          <a:off x="5629275" y="112776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56</xdr:row>
      <xdr:rowOff>76200</xdr:rowOff>
    </xdr:from>
    <xdr:to>
      <xdr:col>13</xdr:col>
      <xdr:colOff>0</xdr:colOff>
      <xdr:row>71</xdr:row>
      <xdr:rowOff>76200</xdr:rowOff>
    </xdr:to>
    <xdr:sp macro="" textlink="">
      <xdr:nvSpPr>
        <xdr:cNvPr id="8761" name="Line 433">
          <a:extLst>
            <a:ext uri="{FF2B5EF4-FFF2-40B4-BE49-F238E27FC236}">
              <a16:creationId xmlns:a16="http://schemas.microsoft.com/office/drawing/2014/main" id="{00000000-0008-0000-0300-000039220000}"/>
            </a:ext>
          </a:extLst>
        </xdr:cNvPr>
        <xdr:cNvSpPr>
          <a:spLocks noChangeShapeType="1"/>
        </xdr:cNvSpPr>
      </xdr:nvSpPr>
      <xdr:spPr bwMode="auto">
        <a:xfrm flipV="1">
          <a:off x="5334000" y="11277600"/>
          <a:ext cx="295275" cy="30003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61</xdr:row>
      <xdr:rowOff>0</xdr:rowOff>
    </xdr:from>
    <xdr:to>
      <xdr:col>19</xdr:col>
      <xdr:colOff>152400</xdr:colOff>
      <xdr:row>61</xdr:row>
      <xdr:rowOff>152400</xdr:rowOff>
    </xdr:to>
    <xdr:sp macro="" textlink="">
      <xdr:nvSpPr>
        <xdr:cNvPr id="8762" name="Triangle 8761">
          <a:extLst>
            <a:ext uri="{FF2B5EF4-FFF2-40B4-BE49-F238E27FC236}">
              <a16:creationId xmlns:a16="http://schemas.microsoft.com/office/drawing/2014/main" id="{00000000-0008-0000-0300-00003A220000}"/>
            </a:ext>
          </a:extLst>
        </xdr:cNvPr>
        <xdr:cNvSpPr/>
      </xdr:nvSpPr>
      <xdr:spPr>
        <a:xfrm rot="16200000">
          <a:off x="8820150" y="1220152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61</xdr:row>
      <xdr:rowOff>76200</xdr:rowOff>
    </xdr:from>
    <xdr:to>
      <xdr:col>19</xdr:col>
      <xdr:colOff>0</xdr:colOff>
      <xdr:row>61</xdr:row>
      <xdr:rowOff>76200</xdr:rowOff>
    </xdr:to>
    <xdr:sp macro="" textlink="">
      <xdr:nvSpPr>
        <xdr:cNvPr id="8763" name="Line 434">
          <a:extLst>
            <a:ext uri="{FF2B5EF4-FFF2-40B4-BE49-F238E27FC236}">
              <a16:creationId xmlns:a16="http://schemas.microsoft.com/office/drawing/2014/main" id="{00000000-0008-0000-0300-00003B220000}"/>
            </a:ext>
          </a:extLst>
        </xdr:cNvPr>
        <xdr:cNvSpPr>
          <a:spLocks noChangeShapeType="1"/>
        </xdr:cNvSpPr>
      </xdr:nvSpPr>
      <xdr:spPr bwMode="auto">
        <a:xfrm>
          <a:off x="7448550" y="122777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56</xdr:row>
      <xdr:rowOff>76200</xdr:rowOff>
    </xdr:from>
    <xdr:to>
      <xdr:col>17</xdr:col>
      <xdr:colOff>0</xdr:colOff>
      <xdr:row>61</xdr:row>
      <xdr:rowOff>76200</xdr:rowOff>
    </xdr:to>
    <xdr:sp macro="" textlink="">
      <xdr:nvSpPr>
        <xdr:cNvPr id="8764" name="Line 435">
          <a:extLst>
            <a:ext uri="{FF2B5EF4-FFF2-40B4-BE49-F238E27FC236}">
              <a16:creationId xmlns:a16="http://schemas.microsoft.com/office/drawing/2014/main" id="{00000000-0008-0000-0300-00003C220000}"/>
            </a:ext>
          </a:extLst>
        </xdr:cNvPr>
        <xdr:cNvSpPr>
          <a:spLocks noChangeShapeType="1"/>
        </xdr:cNvSpPr>
      </xdr:nvSpPr>
      <xdr:spPr bwMode="auto">
        <a:xfrm>
          <a:off x="7153275" y="1127760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71</xdr:row>
      <xdr:rowOff>0</xdr:rowOff>
    </xdr:from>
    <xdr:to>
      <xdr:col>15</xdr:col>
      <xdr:colOff>152400</xdr:colOff>
      <xdr:row>71</xdr:row>
      <xdr:rowOff>152400</xdr:rowOff>
    </xdr:to>
    <xdr:sp macro="" textlink="">
      <xdr:nvSpPr>
        <xdr:cNvPr id="8765" name="Circle 8764">
          <a:extLst>
            <a:ext uri="{FF2B5EF4-FFF2-40B4-BE49-F238E27FC236}">
              <a16:creationId xmlns:a16="http://schemas.microsoft.com/office/drawing/2014/main" id="{00000000-0008-0000-0300-00003D220000}"/>
            </a:ext>
          </a:extLst>
        </xdr:cNvPr>
        <xdr:cNvSpPr/>
      </xdr:nvSpPr>
      <xdr:spPr>
        <a:xfrm>
          <a:off x="7000875" y="14201775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76200</xdr:rowOff>
    </xdr:from>
    <xdr:to>
      <xdr:col>15</xdr:col>
      <xdr:colOff>0</xdr:colOff>
      <xdr:row>71</xdr:row>
      <xdr:rowOff>76200</xdr:rowOff>
    </xdr:to>
    <xdr:sp macro="" textlink="">
      <xdr:nvSpPr>
        <xdr:cNvPr id="8766" name="Line 436">
          <a:extLst>
            <a:ext uri="{FF2B5EF4-FFF2-40B4-BE49-F238E27FC236}">
              <a16:creationId xmlns:a16="http://schemas.microsoft.com/office/drawing/2014/main" id="{00000000-0008-0000-0300-00003E220000}"/>
            </a:ext>
          </a:extLst>
        </xdr:cNvPr>
        <xdr:cNvSpPr>
          <a:spLocks noChangeShapeType="1"/>
        </xdr:cNvSpPr>
      </xdr:nvSpPr>
      <xdr:spPr bwMode="auto">
        <a:xfrm>
          <a:off x="5629275" y="142779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71</xdr:row>
      <xdr:rowOff>76200</xdr:rowOff>
    </xdr:from>
    <xdr:to>
      <xdr:col>13</xdr:col>
      <xdr:colOff>0</xdr:colOff>
      <xdr:row>71</xdr:row>
      <xdr:rowOff>76200</xdr:rowOff>
    </xdr:to>
    <xdr:sp macro="" textlink="">
      <xdr:nvSpPr>
        <xdr:cNvPr id="8767" name="Line 437">
          <a:extLst>
            <a:ext uri="{FF2B5EF4-FFF2-40B4-BE49-F238E27FC236}">
              <a16:creationId xmlns:a16="http://schemas.microsoft.com/office/drawing/2014/main" id="{00000000-0008-0000-0300-00003F220000}"/>
            </a:ext>
          </a:extLst>
        </xdr:cNvPr>
        <xdr:cNvSpPr>
          <a:spLocks noChangeShapeType="1"/>
        </xdr:cNvSpPr>
      </xdr:nvSpPr>
      <xdr:spPr bwMode="auto">
        <a:xfrm>
          <a:off x="5334000" y="14277975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152400</xdr:colOff>
      <xdr:row>51</xdr:row>
      <xdr:rowOff>152400</xdr:rowOff>
    </xdr:to>
    <xdr:sp macro="" textlink="">
      <xdr:nvSpPr>
        <xdr:cNvPr id="8768" name="Triangle 8767">
          <a:extLst>
            <a:ext uri="{FF2B5EF4-FFF2-40B4-BE49-F238E27FC236}">
              <a16:creationId xmlns:a16="http://schemas.microsoft.com/office/drawing/2014/main" id="{00000000-0008-0000-0300-000040220000}"/>
            </a:ext>
          </a:extLst>
        </xdr:cNvPr>
        <xdr:cNvSpPr/>
      </xdr:nvSpPr>
      <xdr:spPr>
        <a:xfrm rot="16200000">
          <a:off x="8820150" y="102012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51</xdr:row>
      <xdr:rowOff>76200</xdr:rowOff>
    </xdr:from>
    <xdr:to>
      <xdr:col>19</xdr:col>
      <xdr:colOff>0</xdr:colOff>
      <xdr:row>51</xdr:row>
      <xdr:rowOff>76200</xdr:rowOff>
    </xdr:to>
    <xdr:sp macro="" textlink="">
      <xdr:nvSpPr>
        <xdr:cNvPr id="8769" name="Line 438">
          <a:extLst>
            <a:ext uri="{FF2B5EF4-FFF2-40B4-BE49-F238E27FC236}">
              <a16:creationId xmlns:a16="http://schemas.microsoft.com/office/drawing/2014/main" id="{00000000-0008-0000-0300-000041220000}"/>
            </a:ext>
          </a:extLst>
        </xdr:cNvPr>
        <xdr:cNvSpPr>
          <a:spLocks noChangeShapeType="1"/>
        </xdr:cNvSpPr>
      </xdr:nvSpPr>
      <xdr:spPr bwMode="auto">
        <a:xfrm>
          <a:off x="7448550" y="102774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51</xdr:row>
      <xdr:rowOff>76200</xdr:rowOff>
    </xdr:from>
    <xdr:to>
      <xdr:col>17</xdr:col>
      <xdr:colOff>0</xdr:colOff>
      <xdr:row>56</xdr:row>
      <xdr:rowOff>76200</xdr:rowOff>
    </xdr:to>
    <xdr:sp macro="" textlink="">
      <xdr:nvSpPr>
        <xdr:cNvPr id="8770" name="Line 439">
          <a:extLst>
            <a:ext uri="{FF2B5EF4-FFF2-40B4-BE49-F238E27FC236}">
              <a16:creationId xmlns:a16="http://schemas.microsoft.com/office/drawing/2014/main" id="{00000000-0008-0000-0300-000042220000}"/>
            </a:ext>
          </a:extLst>
        </xdr:cNvPr>
        <xdr:cNvSpPr>
          <a:spLocks noChangeShapeType="1"/>
        </xdr:cNvSpPr>
      </xdr:nvSpPr>
      <xdr:spPr bwMode="auto">
        <a:xfrm flipV="1">
          <a:off x="7153275" y="1027747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152400</xdr:colOff>
      <xdr:row>56</xdr:row>
      <xdr:rowOff>152400</xdr:rowOff>
    </xdr:to>
    <xdr:sp macro="" textlink="">
      <xdr:nvSpPr>
        <xdr:cNvPr id="8771" name="Triangle 8770">
          <a:extLst>
            <a:ext uri="{FF2B5EF4-FFF2-40B4-BE49-F238E27FC236}">
              <a16:creationId xmlns:a16="http://schemas.microsoft.com/office/drawing/2014/main" id="{00000000-0008-0000-0300-000043220000}"/>
            </a:ext>
          </a:extLst>
        </xdr:cNvPr>
        <xdr:cNvSpPr/>
      </xdr:nvSpPr>
      <xdr:spPr>
        <a:xfrm rot="16200000">
          <a:off x="8820150" y="112014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56</xdr:row>
      <xdr:rowOff>76200</xdr:rowOff>
    </xdr:from>
    <xdr:to>
      <xdr:col>19</xdr:col>
      <xdr:colOff>0</xdr:colOff>
      <xdr:row>56</xdr:row>
      <xdr:rowOff>76200</xdr:rowOff>
    </xdr:to>
    <xdr:sp macro="" textlink="">
      <xdr:nvSpPr>
        <xdr:cNvPr id="8772" name="Line 440">
          <a:extLst>
            <a:ext uri="{FF2B5EF4-FFF2-40B4-BE49-F238E27FC236}">
              <a16:creationId xmlns:a16="http://schemas.microsoft.com/office/drawing/2014/main" id="{00000000-0008-0000-0300-000044220000}"/>
            </a:ext>
          </a:extLst>
        </xdr:cNvPr>
        <xdr:cNvSpPr>
          <a:spLocks noChangeShapeType="1"/>
        </xdr:cNvSpPr>
      </xdr:nvSpPr>
      <xdr:spPr bwMode="auto">
        <a:xfrm>
          <a:off x="7448550" y="112776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56</xdr:row>
      <xdr:rowOff>76200</xdr:rowOff>
    </xdr:from>
    <xdr:to>
      <xdr:col>17</xdr:col>
      <xdr:colOff>0</xdr:colOff>
      <xdr:row>56</xdr:row>
      <xdr:rowOff>76200</xdr:rowOff>
    </xdr:to>
    <xdr:sp macro="" textlink="">
      <xdr:nvSpPr>
        <xdr:cNvPr id="8773" name="Line 441">
          <a:extLst>
            <a:ext uri="{FF2B5EF4-FFF2-40B4-BE49-F238E27FC236}">
              <a16:creationId xmlns:a16="http://schemas.microsoft.com/office/drawing/2014/main" id="{00000000-0008-0000-0300-000045220000}"/>
            </a:ext>
          </a:extLst>
        </xdr:cNvPr>
        <xdr:cNvSpPr>
          <a:spLocks noChangeShapeType="1"/>
        </xdr:cNvSpPr>
      </xdr:nvSpPr>
      <xdr:spPr bwMode="auto">
        <a:xfrm>
          <a:off x="7153275" y="1127760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86</xdr:row>
      <xdr:rowOff>0</xdr:rowOff>
    </xdr:from>
    <xdr:to>
      <xdr:col>15</xdr:col>
      <xdr:colOff>152400</xdr:colOff>
      <xdr:row>86</xdr:row>
      <xdr:rowOff>152400</xdr:rowOff>
    </xdr:to>
    <xdr:sp macro="" textlink="">
      <xdr:nvSpPr>
        <xdr:cNvPr id="8774" name="Circle 8773">
          <a:extLst>
            <a:ext uri="{FF2B5EF4-FFF2-40B4-BE49-F238E27FC236}">
              <a16:creationId xmlns:a16="http://schemas.microsoft.com/office/drawing/2014/main" id="{00000000-0008-0000-0300-000046220000}"/>
            </a:ext>
          </a:extLst>
        </xdr:cNvPr>
        <xdr:cNvSpPr/>
      </xdr:nvSpPr>
      <xdr:spPr>
        <a:xfrm>
          <a:off x="7000875" y="17202150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86</xdr:row>
      <xdr:rowOff>76200</xdr:rowOff>
    </xdr:from>
    <xdr:to>
      <xdr:col>15</xdr:col>
      <xdr:colOff>0</xdr:colOff>
      <xdr:row>86</xdr:row>
      <xdr:rowOff>76200</xdr:rowOff>
    </xdr:to>
    <xdr:sp macro="" textlink="">
      <xdr:nvSpPr>
        <xdr:cNvPr id="8775" name="Line 442">
          <a:extLst>
            <a:ext uri="{FF2B5EF4-FFF2-40B4-BE49-F238E27FC236}">
              <a16:creationId xmlns:a16="http://schemas.microsoft.com/office/drawing/2014/main" id="{00000000-0008-0000-0300-000047220000}"/>
            </a:ext>
          </a:extLst>
        </xdr:cNvPr>
        <xdr:cNvSpPr>
          <a:spLocks noChangeShapeType="1"/>
        </xdr:cNvSpPr>
      </xdr:nvSpPr>
      <xdr:spPr bwMode="auto">
        <a:xfrm>
          <a:off x="5629275" y="172783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71</xdr:row>
      <xdr:rowOff>76200</xdr:rowOff>
    </xdr:from>
    <xdr:to>
      <xdr:col>13</xdr:col>
      <xdr:colOff>0</xdr:colOff>
      <xdr:row>86</xdr:row>
      <xdr:rowOff>76200</xdr:rowOff>
    </xdr:to>
    <xdr:sp macro="" textlink="">
      <xdr:nvSpPr>
        <xdr:cNvPr id="8776" name="Line 443">
          <a:extLst>
            <a:ext uri="{FF2B5EF4-FFF2-40B4-BE49-F238E27FC236}">
              <a16:creationId xmlns:a16="http://schemas.microsoft.com/office/drawing/2014/main" id="{00000000-0008-0000-0300-000048220000}"/>
            </a:ext>
          </a:extLst>
        </xdr:cNvPr>
        <xdr:cNvSpPr>
          <a:spLocks noChangeShapeType="1"/>
        </xdr:cNvSpPr>
      </xdr:nvSpPr>
      <xdr:spPr bwMode="auto">
        <a:xfrm>
          <a:off x="5334000" y="14277975"/>
          <a:ext cx="295275" cy="30003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76</xdr:row>
      <xdr:rowOff>0</xdr:rowOff>
    </xdr:from>
    <xdr:to>
      <xdr:col>19</xdr:col>
      <xdr:colOff>152400</xdr:colOff>
      <xdr:row>76</xdr:row>
      <xdr:rowOff>152400</xdr:rowOff>
    </xdr:to>
    <xdr:sp macro="" textlink="">
      <xdr:nvSpPr>
        <xdr:cNvPr id="8777" name="Triangle 8776">
          <a:extLst>
            <a:ext uri="{FF2B5EF4-FFF2-40B4-BE49-F238E27FC236}">
              <a16:creationId xmlns:a16="http://schemas.microsoft.com/office/drawing/2014/main" id="{00000000-0008-0000-0300-000049220000}"/>
            </a:ext>
          </a:extLst>
        </xdr:cNvPr>
        <xdr:cNvSpPr/>
      </xdr:nvSpPr>
      <xdr:spPr>
        <a:xfrm rot="16200000">
          <a:off x="8820150" y="152019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76</xdr:row>
      <xdr:rowOff>76200</xdr:rowOff>
    </xdr:from>
    <xdr:to>
      <xdr:col>19</xdr:col>
      <xdr:colOff>0</xdr:colOff>
      <xdr:row>76</xdr:row>
      <xdr:rowOff>76200</xdr:rowOff>
    </xdr:to>
    <xdr:sp macro="" textlink="">
      <xdr:nvSpPr>
        <xdr:cNvPr id="8778" name="Line 444">
          <a:extLst>
            <a:ext uri="{FF2B5EF4-FFF2-40B4-BE49-F238E27FC236}">
              <a16:creationId xmlns:a16="http://schemas.microsoft.com/office/drawing/2014/main" id="{00000000-0008-0000-0300-00004A220000}"/>
            </a:ext>
          </a:extLst>
        </xdr:cNvPr>
        <xdr:cNvSpPr>
          <a:spLocks noChangeShapeType="1"/>
        </xdr:cNvSpPr>
      </xdr:nvSpPr>
      <xdr:spPr bwMode="auto">
        <a:xfrm>
          <a:off x="7448550" y="152781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71</xdr:row>
      <xdr:rowOff>76200</xdr:rowOff>
    </xdr:from>
    <xdr:to>
      <xdr:col>17</xdr:col>
      <xdr:colOff>0</xdr:colOff>
      <xdr:row>76</xdr:row>
      <xdr:rowOff>76200</xdr:rowOff>
    </xdr:to>
    <xdr:sp macro="" textlink="">
      <xdr:nvSpPr>
        <xdr:cNvPr id="8779" name="Line 445">
          <a:extLst>
            <a:ext uri="{FF2B5EF4-FFF2-40B4-BE49-F238E27FC236}">
              <a16:creationId xmlns:a16="http://schemas.microsoft.com/office/drawing/2014/main" id="{00000000-0008-0000-0300-00004B220000}"/>
            </a:ext>
          </a:extLst>
        </xdr:cNvPr>
        <xdr:cNvSpPr>
          <a:spLocks noChangeShapeType="1"/>
        </xdr:cNvSpPr>
      </xdr:nvSpPr>
      <xdr:spPr bwMode="auto">
        <a:xfrm>
          <a:off x="7153275" y="1427797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66</xdr:row>
      <xdr:rowOff>0</xdr:rowOff>
    </xdr:from>
    <xdr:to>
      <xdr:col>19</xdr:col>
      <xdr:colOff>152400</xdr:colOff>
      <xdr:row>66</xdr:row>
      <xdr:rowOff>152400</xdr:rowOff>
    </xdr:to>
    <xdr:sp macro="" textlink="">
      <xdr:nvSpPr>
        <xdr:cNvPr id="8780" name="Triangle 8779">
          <a:extLst>
            <a:ext uri="{FF2B5EF4-FFF2-40B4-BE49-F238E27FC236}">
              <a16:creationId xmlns:a16="http://schemas.microsoft.com/office/drawing/2014/main" id="{00000000-0008-0000-0300-00004C220000}"/>
            </a:ext>
          </a:extLst>
        </xdr:cNvPr>
        <xdr:cNvSpPr/>
      </xdr:nvSpPr>
      <xdr:spPr>
        <a:xfrm rot="16200000">
          <a:off x="8820150" y="132016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66</xdr:row>
      <xdr:rowOff>76200</xdr:rowOff>
    </xdr:from>
    <xdr:to>
      <xdr:col>19</xdr:col>
      <xdr:colOff>0</xdr:colOff>
      <xdr:row>66</xdr:row>
      <xdr:rowOff>76200</xdr:rowOff>
    </xdr:to>
    <xdr:sp macro="" textlink="">
      <xdr:nvSpPr>
        <xdr:cNvPr id="8781" name="Line 446">
          <a:extLst>
            <a:ext uri="{FF2B5EF4-FFF2-40B4-BE49-F238E27FC236}">
              <a16:creationId xmlns:a16="http://schemas.microsoft.com/office/drawing/2014/main" id="{00000000-0008-0000-0300-00004D220000}"/>
            </a:ext>
          </a:extLst>
        </xdr:cNvPr>
        <xdr:cNvSpPr>
          <a:spLocks noChangeShapeType="1"/>
        </xdr:cNvSpPr>
      </xdr:nvSpPr>
      <xdr:spPr bwMode="auto">
        <a:xfrm>
          <a:off x="7448550" y="132778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66</xdr:row>
      <xdr:rowOff>76200</xdr:rowOff>
    </xdr:from>
    <xdr:to>
      <xdr:col>17</xdr:col>
      <xdr:colOff>0</xdr:colOff>
      <xdr:row>71</xdr:row>
      <xdr:rowOff>76200</xdr:rowOff>
    </xdr:to>
    <xdr:sp macro="" textlink="">
      <xdr:nvSpPr>
        <xdr:cNvPr id="8782" name="Line 447">
          <a:extLst>
            <a:ext uri="{FF2B5EF4-FFF2-40B4-BE49-F238E27FC236}">
              <a16:creationId xmlns:a16="http://schemas.microsoft.com/office/drawing/2014/main" id="{00000000-0008-0000-0300-00004E220000}"/>
            </a:ext>
          </a:extLst>
        </xdr:cNvPr>
        <xdr:cNvSpPr>
          <a:spLocks noChangeShapeType="1"/>
        </xdr:cNvSpPr>
      </xdr:nvSpPr>
      <xdr:spPr bwMode="auto">
        <a:xfrm flipV="1">
          <a:off x="7153275" y="1327785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71</xdr:row>
      <xdr:rowOff>0</xdr:rowOff>
    </xdr:from>
    <xdr:to>
      <xdr:col>19</xdr:col>
      <xdr:colOff>152400</xdr:colOff>
      <xdr:row>71</xdr:row>
      <xdr:rowOff>152400</xdr:rowOff>
    </xdr:to>
    <xdr:sp macro="" textlink="">
      <xdr:nvSpPr>
        <xdr:cNvPr id="8783" name="Triangle 8782">
          <a:extLst>
            <a:ext uri="{FF2B5EF4-FFF2-40B4-BE49-F238E27FC236}">
              <a16:creationId xmlns:a16="http://schemas.microsoft.com/office/drawing/2014/main" id="{00000000-0008-0000-0300-00004F220000}"/>
            </a:ext>
          </a:extLst>
        </xdr:cNvPr>
        <xdr:cNvSpPr/>
      </xdr:nvSpPr>
      <xdr:spPr>
        <a:xfrm rot="16200000">
          <a:off x="8820150" y="142017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76200</xdr:rowOff>
    </xdr:from>
    <xdr:to>
      <xdr:col>19</xdr:col>
      <xdr:colOff>0</xdr:colOff>
      <xdr:row>71</xdr:row>
      <xdr:rowOff>76200</xdr:rowOff>
    </xdr:to>
    <xdr:sp macro="" textlink="">
      <xdr:nvSpPr>
        <xdr:cNvPr id="8784" name="Line 448">
          <a:extLst>
            <a:ext uri="{FF2B5EF4-FFF2-40B4-BE49-F238E27FC236}">
              <a16:creationId xmlns:a16="http://schemas.microsoft.com/office/drawing/2014/main" id="{00000000-0008-0000-0300-000050220000}"/>
            </a:ext>
          </a:extLst>
        </xdr:cNvPr>
        <xdr:cNvSpPr>
          <a:spLocks noChangeShapeType="1"/>
        </xdr:cNvSpPr>
      </xdr:nvSpPr>
      <xdr:spPr bwMode="auto">
        <a:xfrm>
          <a:off x="7448550" y="142779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71</xdr:row>
      <xdr:rowOff>76200</xdr:rowOff>
    </xdr:from>
    <xdr:to>
      <xdr:col>17</xdr:col>
      <xdr:colOff>0</xdr:colOff>
      <xdr:row>71</xdr:row>
      <xdr:rowOff>76200</xdr:rowOff>
    </xdr:to>
    <xdr:sp macro="" textlink="">
      <xdr:nvSpPr>
        <xdr:cNvPr id="8785" name="Line 449">
          <a:extLst>
            <a:ext uri="{FF2B5EF4-FFF2-40B4-BE49-F238E27FC236}">
              <a16:creationId xmlns:a16="http://schemas.microsoft.com/office/drawing/2014/main" id="{00000000-0008-0000-0300-000051220000}"/>
            </a:ext>
          </a:extLst>
        </xdr:cNvPr>
        <xdr:cNvSpPr>
          <a:spLocks noChangeShapeType="1"/>
        </xdr:cNvSpPr>
      </xdr:nvSpPr>
      <xdr:spPr bwMode="auto">
        <a:xfrm>
          <a:off x="7153275" y="14277975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91</xdr:row>
      <xdr:rowOff>0</xdr:rowOff>
    </xdr:from>
    <xdr:to>
      <xdr:col>19</xdr:col>
      <xdr:colOff>152400</xdr:colOff>
      <xdr:row>91</xdr:row>
      <xdr:rowOff>152400</xdr:rowOff>
    </xdr:to>
    <xdr:sp macro="" textlink="">
      <xdr:nvSpPr>
        <xdr:cNvPr id="8786" name="Triangle 8785">
          <a:extLst>
            <a:ext uri="{FF2B5EF4-FFF2-40B4-BE49-F238E27FC236}">
              <a16:creationId xmlns:a16="http://schemas.microsoft.com/office/drawing/2014/main" id="{00000000-0008-0000-0300-000052220000}"/>
            </a:ext>
          </a:extLst>
        </xdr:cNvPr>
        <xdr:cNvSpPr/>
      </xdr:nvSpPr>
      <xdr:spPr>
        <a:xfrm rot="16200000">
          <a:off x="8820150" y="182022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91</xdr:row>
      <xdr:rowOff>76200</xdr:rowOff>
    </xdr:from>
    <xdr:to>
      <xdr:col>19</xdr:col>
      <xdr:colOff>0</xdr:colOff>
      <xdr:row>91</xdr:row>
      <xdr:rowOff>76200</xdr:rowOff>
    </xdr:to>
    <xdr:sp macro="" textlink="">
      <xdr:nvSpPr>
        <xdr:cNvPr id="8787" name="Line 450">
          <a:extLst>
            <a:ext uri="{FF2B5EF4-FFF2-40B4-BE49-F238E27FC236}">
              <a16:creationId xmlns:a16="http://schemas.microsoft.com/office/drawing/2014/main" id="{00000000-0008-0000-0300-000053220000}"/>
            </a:ext>
          </a:extLst>
        </xdr:cNvPr>
        <xdr:cNvSpPr>
          <a:spLocks noChangeShapeType="1"/>
        </xdr:cNvSpPr>
      </xdr:nvSpPr>
      <xdr:spPr bwMode="auto">
        <a:xfrm>
          <a:off x="7448550" y="182784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86</xdr:row>
      <xdr:rowOff>76200</xdr:rowOff>
    </xdr:from>
    <xdr:to>
      <xdr:col>17</xdr:col>
      <xdr:colOff>0</xdr:colOff>
      <xdr:row>91</xdr:row>
      <xdr:rowOff>76200</xdr:rowOff>
    </xdr:to>
    <xdr:sp macro="" textlink="">
      <xdr:nvSpPr>
        <xdr:cNvPr id="8788" name="Line 451">
          <a:extLst>
            <a:ext uri="{FF2B5EF4-FFF2-40B4-BE49-F238E27FC236}">
              <a16:creationId xmlns:a16="http://schemas.microsoft.com/office/drawing/2014/main" id="{00000000-0008-0000-0300-000054220000}"/>
            </a:ext>
          </a:extLst>
        </xdr:cNvPr>
        <xdr:cNvSpPr>
          <a:spLocks noChangeShapeType="1"/>
        </xdr:cNvSpPr>
      </xdr:nvSpPr>
      <xdr:spPr bwMode="auto">
        <a:xfrm>
          <a:off x="7153275" y="1727835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81</xdr:row>
      <xdr:rowOff>0</xdr:rowOff>
    </xdr:from>
    <xdr:to>
      <xdr:col>19</xdr:col>
      <xdr:colOff>152400</xdr:colOff>
      <xdr:row>81</xdr:row>
      <xdr:rowOff>152400</xdr:rowOff>
    </xdr:to>
    <xdr:sp macro="" textlink="">
      <xdr:nvSpPr>
        <xdr:cNvPr id="8789" name="Triangle 8788">
          <a:extLst>
            <a:ext uri="{FF2B5EF4-FFF2-40B4-BE49-F238E27FC236}">
              <a16:creationId xmlns:a16="http://schemas.microsoft.com/office/drawing/2014/main" id="{00000000-0008-0000-0300-000055220000}"/>
            </a:ext>
          </a:extLst>
        </xdr:cNvPr>
        <xdr:cNvSpPr/>
      </xdr:nvSpPr>
      <xdr:spPr>
        <a:xfrm rot="16200000">
          <a:off x="8820150" y="1620202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76200</xdr:rowOff>
    </xdr:from>
    <xdr:to>
      <xdr:col>19</xdr:col>
      <xdr:colOff>0</xdr:colOff>
      <xdr:row>81</xdr:row>
      <xdr:rowOff>76200</xdr:rowOff>
    </xdr:to>
    <xdr:sp macro="" textlink="">
      <xdr:nvSpPr>
        <xdr:cNvPr id="8790" name="Line 452">
          <a:extLst>
            <a:ext uri="{FF2B5EF4-FFF2-40B4-BE49-F238E27FC236}">
              <a16:creationId xmlns:a16="http://schemas.microsoft.com/office/drawing/2014/main" id="{00000000-0008-0000-0300-000056220000}"/>
            </a:ext>
          </a:extLst>
        </xdr:cNvPr>
        <xdr:cNvSpPr>
          <a:spLocks noChangeShapeType="1"/>
        </xdr:cNvSpPr>
      </xdr:nvSpPr>
      <xdr:spPr bwMode="auto">
        <a:xfrm>
          <a:off x="7448550" y="162782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81</xdr:row>
      <xdr:rowOff>76200</xdr:rowOff>
    </xdr:from>
    <xdr:to>
      <xdr:col>17</xdr:col>
      <xdr:colOff>0</xdr:colOff>
      <xdr:row>86</xdr:row>
      <xdr:rowOff>76200</xdr:rowOff>
    </xdr:to>
    <xdr:sp macro="" textlink="">
      <xdr:nvSpPr>
        <xdr:cNvPr id="8791" name="Line 453">
          <a:extLst>
            <a:ext uri="{FF2B5EF4-FFF2-40B4-BE49-F238E27FC236}">
              <a16:creationId xmlns:a16="http://schemas.microsoft.com/office/drawing/2014/main" id="{00000000-0008-0000-0300-000057220000}"/>
            </a:ext>
          </a:extLst>
        </xdr:cNvPr>
        <xdr:cNvSpPr>
          <a:spLocks noChangeShapeType="1"/>
        </xdr:cNvSpPr>
      </xdr:nvSpPr>
      <xdr:spPr bwMode="auto">
        <a:xfrm flipV="1">
          <a:off x="7153275" y="1627822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152400</xdr:colOff>
      <xdr:row>86</xdr:row>
      <xdr:rowOff>152400</xdr:rowOff>
    </xdr:to>
    <xdr:sp macro="" textlink="">
      <xdr:nvSpPr>
        <xdr:cNvPr id="8792" name="Triangle 8791">
          <a:extLst>
            <a:ext uri="{FF2B5EF4-FFF2-40B4-BE49-F238E27FC236}">
              <a16:creationId xmlns:a16="http://schemas.microsoft.com/office/drawing/2014/main" id="{00000000-0008-0000-0300-000058220000}"/>
            </a:ext>
          </a:extLst>
        </xdr:cNvPr>
        <xdr:cNvSpPr/>
      </xdr:nvSpPr>
      <xdr:spPr>
        <a:xfrm rot="16200000">
          <a:off x="8820150" y="172021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86</xdr:row>
      <xdr:rowOff>76200</xdr:rowOff>
    </xdr:from>
    <xdr:to>
      <xdr:col>19</xdr:col>
      <xdr:colOff>0</xdr:colOff>
      <xdr:row>86</xdr:row>
      <xdr:rowOff>76200</xdr:rowOff>
    </xdr:to>
    <xdr:sp macro="" textlink="">
      <xdr:nvSpPr>
        <xdr:cNvPr id="8793" name="Line 454">
          <a:extLst>
            <a:ext uri="{FF2B5EF4-FFF2-40B4-BE49-F238E27FC236}">
              <a16:creationId xmlns:a16="http://schemas.microsoft.com/office/drawing/2014/main" id="{00000000-0008-0000-0300-000059220000}"/>
            </a:ext>
          </a:extLst>
        </xdr:cNvPr>
        <xdr:cNvSpPr>
          <a:spLocks noChangeShapeType="1"/>
        </xdr:cNvSpPr>
      </xdr:nvSpPr>
      <xdr:spPr bwMode="auto">
        <a:xfrm>
          <a:off x="7448550" y="172783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86</xdr:row>
      <xdr:rowOff>76200</xdr:rowOff>
    </xdr:from>
    <xdr:to>
      <xdr:col>17</xdr:col>
      <xdr:colOff>0</xdr:colOff>
      <xdr:row>86</xdr:row>
      <xdr:rowOff>76200</xdr:rowOff>
    </xdr:to>
    <xdr:sp macro="" textlink="">
      <xdr:nvSpPr>
        <xdr:cNvPr id="8794" name="Line 455">
          <a:extLst>
            <a:ext uri="{FF2B5EF4-FFF2-40B4-BE49-F238E27FC236}">
              <a16:creationId xmlns:a16="http://schemas.microsoft.com/office/drawing/2014/main" id="{00000000-0008-0000-0300-00005A220000}"/>
            </a:ext>
          </a:extLst>
        </xdr:cNvPr>
        <xdr:cNvSpPr>
          <a:spLocks noChangeShapeType="1"/>
        </xdr:cNvSpPr>
      </xdr:nvSpPr>
      <xdr:spPr bwMode="auto">
        <a:xfrm>
          <a:off x="7153275" y="1727835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101</xdr:row>
      <xdr:rowOff>0</xdr:rowOff>
    </xdr:from>
    <xdr:to>
      <xdr:col>15</xdr:col>
      <xdr:colOff>152400</xdr:colOff>
      <xdr:row>101</xdr:row>
      <xdr:rowOff>152400</xdr:rowOff>
    </xdr:to>
    <xdr:sp macro="" textlink="">
      <xdr:nvSpPr>
        <xdr:cNvPr id="8795" name="Circle 8794">
          <a:extLst>
            <a:ext uri="{FF2B5EF4-FFF2-40B4-BE49-F238E27FC236}">
              <a16:creationId xmlns:a16="http://schemas.microsoft.com/office/drawing/2014/main" id="{00000000-0008-0000-0300-00005B220000}"/>
            </a:ext>
          </a:extLst>
        </xdr:cNvPr>
        <xdr:cNvSpPr/>
      </xdr:nvSpPr>
      <xdr:spPr>
        <a:xfrm>
          <a:off x="7000875" y="20202525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101</xdr:row>
      <xdr:rowOff>76200</xdr:rowOff>
    </xdr:from>
    <xdr:to>
      <xdr:col>15</xdr:col>
      <xdr:colOff>0</xdr:colOff>
      <xdr:row>101</xdr:row>
      <xdr:rowOff>76200</xdr:rowOff>
    </xdr:to>
    <xdr:sp macro="" textlink="">
      <xdr:nvSpPr>
        <xdr:cNvPr id="8796" name="Line 456">
          <a:extLst>
            <a:ext uri="{FF2B5EF4-FFF2-40B4-BE49-F238E27FC236}">
              <a16:creationId xmlns:a16="http://schemas.microsoft.com/office/drawing/2014/main" id="{00000000-0008-0000-0300-00005C220000}"/>
            </a:ext>
          </a:extLst>
        </xdr:cNvPr>
        <xdr:cNvSpPr>
          <a:spLocks noChangeShapeType="1"/>
        </xdr:cNvSpPr>
      </xdr:nvSpPr>
      <xdr:spPr bwMode="auto">
        <a:xfrm>
          <a:off x="5629275" y="202787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101</xdr:row>
      <xdr:rowOff>76200</xdr:rowOff>
    </xdr:from>
    <xdr:to>
      <xdr:col>13</xdr:col>
      <xdr:colOff>0</xdr:colOff>
      <xdr:row>116</xdr:row>
      <xdr:rowOff>76200</xdr:rowOff>
    </xdr:to>
    <xdr:sp macro="" textlink="">
      <xdr:nvSpPr>
        <xdr:cNvPr id="8797" name="Line 457">
          <a:extLst>
            <a:ext uri="{FF2B5EF4-FFF2-40B4-BE49-F238E27FC236}">
              <a16:creationId xmlns:a16="http://schemas.microsoft.com/office/drawing/2014/main" id="{00000000-0008-0000-0300-00005D220000}"/>
            </a:ext>
          </a:extLst>
        </xdr:cNvPr>
        <xdr:cNvSpPr>
          <a:spLocks noChangeShapeType="1"/>
        </xdr:cNvSpPr>
      </xdr:nvSpPr>
      <xdr:spPr bwMode="auto">
        <a:xfrm flipV="1">
          <a:off x="5334000" y="20278725"/>
          <a:ext cx="295275" cy="30003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106</xdr:row>
      <xdr:rowOff>0</xdr:rowOff>
    </xdr:from>
    <xdr:to>
      <xdr:col>19</xdr:col>
      <xdr:colOff>152400</xdr:colOff>
      <xdr:row>106</xdr:row>
      <xdr:rowOff>152400</xdr:rowOff>
    </xdr:to>
    <xdr:sp macro="" textlink="">
      <xdr:nvSpPr>
        <xdr:cNvPr id="8798" name="Triangle 8797">
          <a:extLst>
            <a:ext uri="{FF2B5EF4-FFF2-40B4-BE49-F238E27FC236}">
              <a16:creationId xmlns:a16="http://schemas.microsoft.com/office/drawing/2014/main" id="{00000000-0008-0000-0300-00005E220000}"/>
            </a:ext>
          </a:extLst>
        </xdr:cNvPr>
        <xdr:cNvSpPr/>
      </xdr:nvSpPr>
      <xdr:spPr>
        <a:xfrm rot="16200000">
          <a:off x="8820150" y="212026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106</xdr:row>
      <xdr:rowOff>76200</xdr:rowOff>
    </xdr:from>
    <xdr:to>
      <xdr:col>19</xdr:col>
      <xdr:colOff>0</xdr:colOff>
      <xdr:row>106</xdr:row>
      <xdr:rowOff>76200</xdr:rowOff>
    </xdr:to>
    <xdr:sp macro="" textlink="">
      <xdr:nvSpPr>
        <xdr:cNvPr id="8799" name="Line 458">
          <a:extLst>
            <a:ext uri="{FF2B5EF4-FFF2-40B4-BE49-F238E27FC236}">
              <a16:creationId xmlns:a16="http://schemas.microsoft.com/office/drawing/2014/main" id="{00000000-0008-0000-0300-00005F220000}"/>
            </a:ext>
          </a:extLst>
        </xdr:cNvPr>
        <xdr:cNvSpPr>
          <a:spLocks noChangeShapeType="1"/>
        </xdr:cNvSpPr>
      </xdr:nvSpPr>
      <xdr:spPr bwMode="auto">
        <a:xfrm>
          <a:off x="7448550" y="212788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101</xdr:row>
      <xdr:rowOff>76200</xdr:rowOff>
    </xdr:from>
    <xdr:to>
      <xdr:col>17</xdr:col>
      <xdr:colOff>0</xdr:colOff>
      <xdr:row>106</xdr:row>
      <xdr:rowOff>76200</xdr:rowOff>
    </xdr:to>
    <xdr:sp macro="" textlink="">
      <xdr:nvSpPr>
        <xdr:cNvPr id="8800" name="Line 459">
          <a:extLst>
            <a:ext uri="{FF2B5EF4-FFF2-40B4-BE49-F238E27FC236}">
              <a16:creationId xmlns:a16="http://schemas.microsoft.com/office/drawing/2014/main" id="{00000000-0008-0000-0300-000060220000}"/>
            </a:ext>
          </a:extLst>
        </xdr:cNvPr>
        <xdr:cNvSpPr>
          <a:spLocks noChangeShapeType="1"/>
        </xdr:cNvSpPr>
      </xdr:nvSpPr>
      <xdr:spPr bwMode="auto">
        <a:xfrm>
          <a:off x="7153275" y="2027872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116</xdr:row>
      <xdr:rowOff>0</xdr:rowOff>
    </xdr:from>
    <xdr:to>
      <xdr:col>15</xdr:col>
      <xdr:colOff>152400</xdr:colOff>
      <xdr:row>116</xdr:row>
      <xdr:rowOff>152400</xdr:rowOff>
    </xdr:to>
    <xdr:sp macro="" textlink="">
      <xdr:nvSpPr>
        <xdr:cNvPr id="8801" name="Circle 8800">
          <a:extLst>
            <a:ext uri="{FF2B5EF4-FFF2-40B4-BE49-F238E27FC236}">
              <a16:creationId xmlns:a16="http://schemas.microsoft.com/office/drawing/2014/main" id="{00000000-0008-0000-0300-000061220000}"/>
            </a:ext>
          </a:extLst>
        </xdr:cNvPr>
        <xdr:cNvSpPr/>
      </xdr:nvSpPr>
      <xdr:spPr>
        <a:xfrm>
          <a:off x="7000875" y="23202900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116</xdr:row>
      <xdr:rowOff>76200</xdr:rowOff>
    </xdr:from>
    <xdr:to>
      <xdr:col>15</xdr:col>
      <xdr:colOff>0</xdr:colOff>
      <xdr:row>116</xdr:row>
      <xdr:rowOff>76200</xdr:rowOff>
    </xdr:to>
    <xdr:sp macro="" textlink="">
      <xdr:nvSpPr>
        <xdr:cNvPr id="8802" name="Line 460">
          <a:extLst>
            <a:ext uri="{FF2B5EF4-FFF2-40B4-BE49-F238E27FC236}">
              <a16:creationId xmlns:a16="http://schemas.microsoft.com/office/drawing/2014/main" id="{00000000-0008-0000-0300-000062220000}"/>
            </a:ext>
          </a:extLst>
        </xdr:cNvPr>
        <xdr:cNvSpPr>
          <a:spLocks noChangeShapeType="1"/>
        </xdr:cNvSpPr>
      </xdr:nvSpPr>
      <xdr:spPr bwMode="auto">
        <a:xfrm>
          <a:off x="5629275" y="232791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116</xdr:row>
      <xdr:rowOff>76200</xdr:rowOff>
    </xdr:from>
    <xdr:to>
      <xdr:col>13</xdr:col>
      <xdr:colOff>0</xdr:colOff>
      <xdr:row>116</xdr:row>
      <xdr:rowOff>76200</xdr:rowOff>
    </xdr:to>
    <xdr:sp macro="" textlink="">
      <xdr:nvSpPr>
        <xdr:cNvPr id="8803" name="Line 461">
          <a:extLst>
            <a:ext uri="{FF2B5EF4-FFF2-40B4-BE49-F238E27FC236}">
              <a16:creationId xmlns:a16="http://schemas.microsoft.com/office/drawing/2014/main" id="{00000000-0008-0000-0300-000063220000}"/>
            </a:ext>
          </a:extLst>
        </xdr:cNvPr>
        <xdr:cNvSpPr>
          <a:spLocks noChangeShapeType="1"/>
        </xdr:cNvSpPr>
      </xdr:nvSpPr>
      <xdr:spPr bwMode="auto">
        <a:xfrm>
          <a:off x="5334000" y="2327910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96</xdr:row>
      <xdr:rowOff>0</xdr:rowOff>
    </xdr:from>
    <xdr:to>
      <xdr:col>19</xdr:col>
      <xdr:colOff>152400</xdr:colOff>
      <xdr:row>96</xdr:row>
      <xdr:rowOff>152400</xdr:rowOff>
    </xdr:to>
    <xdr:sp macro="" textlink="">
      <xdr:nvSpPr>
        <xdr:cNvPr id="8804" name="Triangle 8803">
          <a:extLst>
            <a:ext uri="{FF2B5EF4-FFF2-40B4-BE49-F238E27FC236}">
              <a16:creationId xmlns:a16="http://schemas.microsoft.com/office/drawing/2014/main" id="{00000000-0008-0000-0300-000064220000}"/>
            </a:ext>
          </a:extLst>
        </xdr:cNvPr>
        <xdr:cNvSpPr/>
      </xdr:nvSpPr>
      <xdr:spPr>
        <a:xfrm rot="16200000">
          <a:off x="8820150" y="192024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96</xdr:row>
      <xdr:rowOff>76200</xdr:rowOff>
    </xdr:from>
    <xdr:to>
      <xdr:col>19</xdr:col>
      <xdr:colOff>0</xdr:colOff>
      <xdr:row>96</xdr:row>
      <xdr:rowOff>76200</xdr:rowOff>
    </xdr:to>
    <xdr:sp macro="" textlink="">
      <xdr:nvSpPr>
        <xdr:cNvPr id="8805" name="Line 462">
          <a:extLst>
            <a:ext uri="{FF2B5EF4-FFF2-40B4-BE49-F238E27FC236}">
              <a16:creationId xmlns:a16="http://schemas.microsoft.com/office/drawing/2014/main" id="{00000000-0008-0000-0300-000065220000}"/>
            </a:ext>
          </a:extLst>
        </xdr:cNvPr>
        <xdr:cNvSpPr>
          <a:spLocks noChangeShapeType="1"/>
        </xdr:cNvSpPr>
      </xdr:nvSpPr>
      <xdr:spPr bwMode="auto">
        <a:xfrm>
          <a:off x="7448550" y="192786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96</xdr:row>
      <xdr:rowOff>76200</xdr:rowOff>
    </xdr:from>
    <xdr:to>
      <xdr:col>17</xdr:col>
      <xdr:colOff>0</xdr:colOff>
      <xdr:row>101</xdr:row>
      <xdr:rowOff>76200</xdr:rowOff>
    </xdr:to>
    <xdr:sp macro="" textlink="">
      <xdr:nvSpPr>
        <xdr:cNvPr id="8806" name="Line 463">
          <a:extLst>
            <a:ext uri="{FF2B5EF4-FFF2-40B4-BE49-F238E27FC236}">
              <a16:creationId xmlns:a16="http://schemas.microsoft.com/office/drawing/2014/main" id="{00000000-0008-0000-0300-000066220000}"/>
            </a:ext>
          </a:extLst>
        </xdr:cNvPr>
        <xdr:cNvSpPr>
          <a:spLocks noChangeShapeType="1"/>
        </xdr:cNvSpPr>
      </xdr:nvSpPr>
      <xdr:spPr bwMode="auto">
        <a:xfrm flipV="1">
          <a:off x="7153275" y="1927860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101</xdr:row>
      <xdr:rowOff>0</xdr:rowOff>
    </xdr:from>
    <xdr:to>
      <xdr:col>19</xdr:col>
      <xdr:colOff>152400</xdr:colOff>
      <xdr:row>101</xdr:row>
      <xdr:rowOff>152400</xdr:rowOff>
    </xdr:to>
    <xdr:sp macro="" textlink="">
      <xdr:nvSpPr>
        <xdr:cNvPr id="8807" name="Triangle 8806">
          <a:extLst>
            <a:ext uri="{FF2B5EF4-FFF2-40B4-BE49-F238E27FC236}">
              <a16:creationId xmlns:a16="http://schemas.microsoft.com/office/drawing/2014/main" id="{00000000-0008-0000-0300-000067220000}"/>
            </a:ext>
          </a:extLst>
        </xdr:cNvPr>
        <xdr:cNvSpPr/>
      </xdr:nvSpPr>
      <xdr:spPr>
        <a:xfrm rot="16200000">
          <a:off x="8820150" y="2020252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101</xdr:row>
      <xdr:rowOff>76200</xdr:rowOff>
    </xdr:from>
    <xdr:to>
      <xdr:col>19</xdr:col>
      <xdr:colOff>0</xdr:colOff>
      <xdr:row>101</xdr:row>
      <xdr:rowOff>76200</xdr:rowOff>
    </xdr:to>
    <xdr:sp macro="" textlink="">
      <xdr:nvSpPr>
        <xdr:cNvPr id="8808" name="Line 464">
          <a:extLst>
            <a:ext uri="{FF2B5EF4-FFF2-40B4-BE49-F238E27FC236}">
              <a16:creationId xmlns:a16="http://schemas.microsoft.com/office/drawing/2014/main" id="{00000000-0008-0000-0300-000068220000}"/>
            </a:ext>
          </a:extLst>
        </xdr:cNvPr>
        <xdr:cNvSpPr>
          <a:spLocks noChangeShapeType="1"/>
        </xdr:cNvSpPr>
      </xdr:nvSpPr>
      <xdr:spPr bwMode="auto">
        <a:xfrm>
          <a:off x="7448550" y="202787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101</xdr:row>
      <xdr:rowOff>76200</xdr:rowOff>
    </xdr:from>
    <xdr:to>
      <xdr:col>17</xdr:col>
      <xdr:colOff>0</xdr:colOff>
      <xdr:row>101</xdr:row>
      <xdr:rowOff>76200</xdr:rowOff>
    </xdr:to>
    <xdr:sp macro="" textlink="">
      <xdr:nvSpPr>
        <xdr:cNvPr id="8809" name="Line 465">
          <a:extLst>
            <a:ext uri="{FF2B5EF4-FFF2-40B4-BE49-F238E27FC236}">
              <a16:creationId xmlns:a16="http://schemas.microsoft.com/office/drawing/2014/main" id="{00000000-0008-0000-0300-000069220000}"/>
            </a:ext>
          </a:extLst>
        </xdr:cNvPr>
        <xdr:cNvSpPr>
          <a:spLocks noChangeShapeType="1"/>
        </xdr:cNvSpPr>
      </xdr:nvSpPr>
      <xdr:spPr bwMode="auto">
        <a:xfrm>
          <a:off x="7153275" y="20278725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15</xdr:col>
      <xdr:colOff>0</xdr:colOff>
      <xdr:row>131</xdr:row>
      <xdr:rowOff>0</xdr:rowOff>
    </xdr:from>
    <xdr:to>
      <xdr:col>15</xdr:col>
      <xdr:colOff>152400</xdr:colOff>
      <xdr:row>131</xdr:row>
      <xdr:rowOff>152400</xdr:rowOff>
    </xdr:to>
    <xdr:sp macro="" textlink="">
      <xdr:nvSpPr>
        <xdr:cNvPr id="8810" name="Circle 8809">
          <a:extLst>
            <a:ext uri="{FF2B5EF4-FFF2-40B4-BE49-F238E27FC236}">
              <a16:creationId xmlns:a16="http://schemas.microsoft.com/office/drawing/2014/main" id="{00000000-0008-0000-0300-00006A220000}"/>
            </a:ext>
          </a:extLst>
        </xdr:cNvPr>
        <xdr:cNvSpPr/>
      </xdr:nvSpPr>
      <xdr:spPr>
        <a:xfrm>
          <a:off x="7000875" y="26203275"/>
          <a:ext cx="152400" cy="152400"/>
        </a:xfrm>
        <a:prstGeom prst="ellips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76200</xdr:rowOff>
    </xdr:from>
    <xdr:to>
      <xdr:col>15</xdr:col>
      <xdr:colOff>0</xdr:colOff>
      <xdr:row>131</xdr:row>
      <xdr:rowOff>76200</xdr:rowOff>
    </xdr:to>
    <xdr:sp macro="" textlink="">
      <xdr:nvSpPr>
        <xdr:cNvPr id="8811" name="Line 466">
          <a:extLst>
            <a:ext uri="{FF2B5EF4-FFF2-40B4-BE49-F238E27FC236}">
              <a16:creationId xmlns:a16="http://schemas.microsoft.com/office/drawing/2014/main" id="{00000000-0008-0000-0300-00006B220000}"/>
            </a:ext>
          </a:extLst>
        </xdr:cNvPr>
        <xdr:cNvSpPr>
          <a:spLocks noChangeShapeType="1"/>
        </xdr:cNvSpPr>
      </xdr:nvSpPr>
      <xdr:spPr bwMode="auto">
        <a:xfrm>
          <a:off x="5629275" y="262794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152400</xdr:colOff>
      <xdr:row>116</xdr:row>
      <xdr:rowOff>76200</xdr:rowOff>
    </xdr:from>
    <xdr:to>
      <xdr:col>13</xdr:col>
      <xdr:colOff>0</xdr:colOff>
      <xdr:row>131</xdr:row>
      <xdr:rowOff>76200</xdr:rowOff>
    </xdr:to>
    <xdr:sp macro="" textlink="">
      <xdr:nvSpPr>
        <xdr:cNvPr id="8812" name="Line 467">
          <a:extLst>
            <a:ext uri="{FF2B5EF4-FFF2-40B4-BE49-F238E27FC236}">
              <a16:creationId xmlns:a16="http://schemas.microsoft.com/office/drawing/2014/main" id="{00000000-0008-0000-0300-00006C220000}"/>
            </a:ext>
          </a:extLst>
        </xdr:cNvPr>
        <xdr:cNvSpPr>
          <a:spLocks noChangeShapeType="1"/>
        </xdr:cNvSpPr>
      </xdr:nvSpPr>
      <xdr:spPr bwMode="auto">
        <a:xfrm>
          <a:off x="5334000" y="23279100"/>
          <a:ext cx="295275" cy="30003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121</xdr:row>
      <xdr:rowOff>0</xdr:rowOff>
    </xdr:from>
    <xdr:to>
      <xdr:col>19</xdr:col>
      <xdr:colOff>152400</xdr:colOff>
      <xdr:row>121</xdr:row>
      <xdr:rowOff>152400</xdr:rowOff>
    </xdr:to>
    <xdr:sp macro="" textlink="">
      <xdr:nvSpPr>
        <xdr:cNvPr id="8813" name="Triangle 8812">
          <a:extLst>
            <a:ext uri="{FF2B5EF4-FFF2-40B4-BE49-F238E27FC236}">
              <a16:creationId xmlns:a16="http://schemas.microsoft.com/office/drawing/2014/main" id="{00000000-0008-0000-0300-00006D220000}"/>
            </a:ext>
          </a:extLst>
        </xdr:cNvPr>
        <xdr:cNvSpPr/>
      </xdr:nvSpPr>
      <xdr:spPr>
        <a:xfrm rot="16200000">
          <a:off x="8820150" y="2420302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121</xdr:row>
      <xdr:rowOff>76200</xdr:rowOff>
    </xdr:from>
    <xdr:to>
      <xdr:col>19</xdr:col>
      <xdr:colOff>0</xdr:colOff>
      <xdr:row>121</xdr:row>
      <xdr:rowOff>76200</xdr:rowOff>
    </xdr:to>
    <xdr:sp macro="" textlink="">
      <xdr:nvSpPr>
        <xdr:cNvPr id="8814" name="Line 468">
          <a:extLst>
            <a:ext uri="{FF2B5EF4-FFF2-40B4-BE49-F238E27FC236}">
              <a16:creationId xmlns:a16="http://schemas.microsoft.com/office/drawing/2014/main" id="{00000000-0008-0000-0300-00006E220000}"/>
            </a:ext>
          </a:extLst>
        </xdr:cNvPr>
        <xdr:cNvSpPr>
          <a:spLocks noChangeShapeType="1"/>
        </xdr:cNvSpPr>
      </xdr:nvSpPr>
      <xdr:spPr bwMode="auto">
        <a:xfrm>
          <a:off x="7448550" y="2427922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116</xdr:row>
      <xdr:rowOff>76200</xdr:rowOff>
    </xdr:from>
    <xdr:to>
      <xdr:col>17</xdr:col>
      <xdr:colOff>0</xdr:colOff>
      <xdr:row>121</xdr:row>
      <xdr:rowOff>76200</xdr:rowOff>
    </xdr:to>
    <xdr:sp macro="" textlink="">
      <xdr:nvSpPr>
        <xdr:cNvPr id="8815" name="Line 469">
          <a:extLst>
            <a:ext uri="{FF2B5EF4-FFF2-40B4-BE49-F238E27FC236}">
              <a16:creationId xmlns:a16="http://schemas.microsoft.com/office/drawing/2014/main" id="{00000000-0008-0000-0300-00006F220000}"/>
            </a:ext>
          </a:extLst>
        </xdr:cNvPr>
        <xdr:cNvSpPr>
          <a:spLocks noChangeShapeType="1"/>
        </xdr:cNvSpPr>
      </xdr:nvSpPr>
      <xdr:spPr bwMode="auto">
        <a:xfrm>
          <a:off x="7153275" y="2327910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111</xdr:row>
      <xdr:rowOff>0</xdr:rowOff>
    </xdr:from>
    <xdr:to>
      <xdr:col>19</xdr:col>
      <xdr:colOff>152400</xdr:colOff>
      <xdr:row>111</xdr:row>
      <xdr:rowOff>152400</xdr:rowOff>
    </xdr:to>
    <xdr:sp macro="" textlink="">
      <xdr:nvSpPr>
        <xdr:cNvPr id="8816" name="Triangle 8815">
          <a:extLst>
            <a:ext uri="{FF2B5EF4-FFF2-40B4-BE49-F238E27FC236}">
              <a16:creationId xmlns:a16="http://schemas.microsoft.com/office/drawing/2014/main" id="{00000000-0008-0000-0300-000070220000}"/>
            </a:ext>
          </a:extLst>
        </xdr:cNvPr>
        <xdr:cNvSpPr/>
      </xdr:nvSpPr>
      <xdr:spPr>
        <a:xfrm rot="16200000">
          <a:off x="8820150" y="222027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111</xdr:row>
      <xdr:rowOff>76200</xdr:rowOff>
    </xdr:from>
    <xdr:to>
      <xdr:col>19</xdr:col>
      <xdr:colOff>0</xdr:colOff>
      <xdr:row>111</xdr:row>
      <xdr:rowOff>76200</xdr:rowOff>
    </xdr:to>
    <xdr:sp macro="" textlink="">
      <xdr:nvSpPr>
        <xdr:cNvPr id="8817" name="Line 470">
          <a:extLst>
            <a:ext uri="{FF2B5EF4-FFF2-40B4-BE49-F238E27FC236}">
              <a16:creationId xmlns:a16="http://schemas.microsoft.com/office/drawing/2014/main" id="{00000000-0008-0000-0300-000071220000}"/>
            </a:ext>
          </a:extLst>
        </xdr:cNvPr>
        <xdr:cNvSpPr>
          <a:spLocks noChangeShapeType="1"/>
        </xdr:cNvSpPr>
      </xdr:nvSpPr>
      <xdr:spPr bwMode="auto">
        <a:xfrm>
          <a:off x="7448550" y="222789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111</xdr:row>
      <xdr:rowOff>76200</xdr:rowOff>
    </xdr:from>
    <xdr:to>
      <xdr:col>17</xdr:col>
      <xdr:colOff>0</xdr:colOff>
      <xdr:row>116</xdr:row>
      <xdr:rowOff>76200</xdr:rowOff>
    </xdr:to>
    <xdr:sp macro="" textlink="">
      <xdr:nvSpPr>
        <xdr:cNvPr id="8818" name="Line 471">
          <a:extLst>
            <a:ext uri="{FF2B5EF4-FFF2-40B4-BE49-F238E27FC236}">
              <a16:creationId xmlns:a16="http://schemas.microsoft.com/office/drawing/2014/main" id="{00000000-0008-0000-0300-000072220000}"/>
            </a:ext>
          </a:extLst>
        </xdr:cNvPr>
        <xdr:cNvSpPr>
          <a:spLocks noChangeShapeType="1"/>
        </xdr:cNvSpPr>
      </xdr:nvSpPr>
      <xdr:spPr bwMode="auto">
        <a:xfrm flipV="1">
          <a:off x="7153275" y="2227897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116</xdr:row>
      <xdr:rowOff>0</xdr:rowOff>
    </xdr:from>
    <xdr:to>
      <xdr:col>19</xdr:col>
      <xdr:colOff>152400</xdr:colOff>
      <xdr:row>116</xdr:row>
      <xdr:rowOff>152400</xdr:rowOff>
    </xdr:to>
    <xdr:sp macro="" textlink="">
      <xdr:nvSpPr>
        <xdr:cNvPr id="8819" name="Triangle 8818">
          <a:extLst>
            <a:ext uri="{FF2B5EF4-FFF2-40B4-BE49-F238E27FC236}">
              <a16:creationId xmlns:a16="http://schemas.microsoft.com/office/drawing/2014/main" id="{00000000-0008-0000-0300-000073220000}"/>
            </a:ext>
          </a:extLst>
        </xdr:cNvPr>
        <xdr:cNvSpPr/>
      </xdr:nvSpPr>
      <xdr:spPr>
        <a:xfrm rot="16200000">
          <a:off x="8820150" y="232029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116</xdr:row>
      <xdr:rowOff>76200</xdr:rowOff>
    </xdr:from>
    <xdr:to>
      <xdr:col>19</xdr:col>
      <xdr:colOff>0</xdr:colOff>
      <xdr:row>116</xdr:row>
      <xdr:rowOff>76200</xdr:rowOff>
    </xdr:to>
    <xdr:sp macro="" textlink="">
      <xdr:nvSpPr>
        <xdr:cNvPr id="8820" name="Line 472">
          <a:extLst>
            <a:ext uri="{FF2B5EF4-FFF2-40B4-BE49-F238E27FC236}">
              <a16:creationId xmlns:a16="http://schemas.microsoft.com/office/drawing/2014/main" id="{00000000-0008-0000-0300-000074220000}"/>
            </a:ext>
          </a:extLst>
        </xdr:cNvPr>
        <xdr:cNvSpPr>
          <a:spLocks noChangeShapeType="1"/>
        </xdr:cNvSpPr>
      </xdr:nvSpPr>
      <xdr:spPr bwMode="auto">
        <a:xfrm>
          <a:off x="7448550" y="232791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116</xdr:row>
      <xdr:rowOff>76200</xdr:rowOff>
    </xdr:from>
    <xdr:to>
      <xdr:col>17</xdr:col>
      <xdr:colOff>0</xdr:colOff>
      <xdr:row>116</xdr:row>
      <xdr:rowOff>76200</xdr:rowOff>
    </xdr:to>
    <xdr:sp macro="" textlink="">
      <xdr:nvSpPr>
        <xdr:cNvPr id="8821" name="Line 473">
          <a:extLst>
            <a:ext uri="{FF2B5EF4-FFF2-40B4-BE49-F238E27FC236}">
              <a16:creationId xmlns:a16="http://schemas.microsoft.com/office/drawing/2014/main" id="{00000000-0008-0000-0300-000075220000}"/>
            </a:ext>
          </a:extLst>
        </xdr:cNvPr>
        <xdr:cNvSpPr>
          <a:spLocks noChangeShapeType="1"/>
        </xdr:cNvSpPr>
      </xdr:nvSpPr>
      <xdr:spPr bwMode="auto">
        <a:xfrm>
          <a:off x="7153275" y="2327910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136</xdr:row>
      <xdr:rowOff>0</xdr:rowOff>
    </xdr:from>
    <xdr:to>
      <xdr:col>19</xdr:col>
      <xdr:colOff>152400</xdr:colOff>
      <xdr:row>136</xdr:row>
      <xdr:rowOff>152400</xdr:rowOff>
    </xdr:to>
    <xdr:sp macro="" textlink="">
      <xdr:nvSpPr>
        <xdr:cNvPr id="8822" name="Triangle 8821">
          <a:extLst>
            <a:ext uri="{FF2B5EF4-FFF2-40B4-BE49-F238E27FC236}">
              <a16:creationId xmlns:a16="http://schemas.microsoft.com/office/drawing/2014/main" id="{00000000-0008-0000-0300-000076220000}"/>
            </a:ext>
          </a:extLst>
        </xdr:cNvPr>
        <xdr:cNvSpPr/>
      </xdr:nvSpPr>
      <xdr:spPr>
        <a:xfrm rot="16200000">
          <a:off x="8820150" y="2720340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136</xdr:row>
      <xdr:rowOff>76200</xdr:rowOff>
    </xdr:from>
    <xdr:to>
      <xdr:col>19</xdr:col>
      <xdr:colOff>0</xdr:colOff>
      <xdr:row>136</xdr:row>
      <xdr:rowOff>76200</xdr:rowOff>
    </xdr:to>
    <xdr:sp macro="" textlink="">
      <xdr:nvSpPr>
        <xdr:cNvPr id="8823" name="Line 474">
          <a:extLst>
            <a:ext uri="{FF2B5EF4-FFF2-40B4-BE49-F238E27FC236}">
              <a16:creationId xmlns:a16="http://schemas.microsoft.com/office/drawing/2014/main" id="{00000000-0008-0000-0300-000077220000}"/>
            </a:ext>
          </a:extLst>
        </xdr:cNvPr>
        <xdr:cNvSpPr>
          <a:spLocks noChangeShapeType="1"/>
        </xdr:cNvSpPr>
      </xdr:nvSpPr>
      <xdr:spPr bwMode="auto">
        <a:xfrm>
          <a:off x="7448550" y="2727960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131</xdr:row>
      <xdr:rowOff>76200</xdr:rowOff>
    </xdr:from>
    <xdr:to>
      <xdr:col>17</xdr:col>
      <xdr:colOff>0</xdr:colOff>
      <xdr:row>136</xdr:row>
      <xdr:rowOff>76200</xdr:rowOff>
    </xdr:to>
    <xdr:sp macro="" textlink="">
      <xdr:nvSpPr>
        <xdr:cNvPr id="8824" name="Line 475">
          <a:extLst>
            <a:ext uri="{FF2B5EF4-FFF2-40B4-BE49-F238E27FC236}">
              <a16:creationId xmlns:a16="http://schemas.microsoft.com/office/drawing/2014/main" id="{00000000-0008-0000-0300-000078220000}"/>
            </a:ext>
          </a:extLst>
        </xdr:cNvPr>
        <xdr:cNvSpPr>
          <a:spLocks noChangeShapeType="1"/>
        </xdr:cNvSpPr>
      </xdr:nvSpPr>
      <xdr:spPr bwMode="auto">
        <a:xfrm>
          <a:off x="7153275" y="26279475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126</xdr:row>
      <xdr:rowOff>0</xdr:rowOff>
    </xdr:from>
    <xdr:to>
      <xdr:col>19</xdr:col>
      <xdr:colOff>152400</xdr:colOff>
      <xdr:row>126</xdr:row>
      <xdr:rowOff>152400</xdr:rowOff>
    </xdr:to>
    <xdr:sp macro="" textlink="">
      <xdr:nvSpPr>
        <xdr:cNvPr id="8825" name="Triangle 8824">
          <a:extLst>
            <a:ext uri="{FF2B5EF4-FFF2-40B4-BE49-F238E27FC236}">
              <a16:creationId xmlns:a16="http://schemas.microsoft.com/office/drawing/2014/main" id="{00000000-0008-0000-0300-000079220000}"/>
            </a:ext>
          </a:extLst>
        </xdr:cNvPr>
        <xdr:cNvSpPr/>
      </xdr:nvSpPr>
      <xdr:spPr>
        <a:xfrm rot="16200000">
          <a:off x="8820150" y="25203150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76200</xdr:rowOff>
    </xdr:from>
    <xdr:to>
      <xdr:col>19</xdr:col>
      <xdr:colOff>0</xdr:colOff>
      <xdr:row>126</xdr:row>
      <xdr:rowOff>76200</xdr:rowOff>
    </xdr:to>
    <xdr:sp macro="" textlink="">
      <xdr:nvSpPr>
        <xdr:cNvPr id="8826" name="Line 476">
          <a:extLst>
            <a:ext uri="{FF2B5EF4-FFF2-40B4-BE49-F238E27FC236}">
              <a16:creationId xmlns:a16="http://schemas.microsoft.com/office/drawing/2014/main" id="{00000000-0008-0000-0300-00007A220000}"/>
            </a:ext>
          </a:extLst>
        </xdr:cNvPr>
        <xdr:cNvSpPr>
          <a:spLocks noChangeShapeType="1"/>
        </xdr:cNvSpPr>
      </xdr:nvSpPr>
      <xdr:spPr bwMode="auto">
        <a:xfrm>
          <a:off x="7448550" y="25279350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126</xdr:row>
      <xdr:rowOff>76200</xdr:rowOff>
    </xdr:from>
    <xdr:to>
      <xdr:col>17</xdr:col>
      <xdr:colOff>0</xdr:colOff>
      <xdr:row>131</xdr:row>
      <xdr:rowOff>76200</xdr:rowOff>
    </xdr:to>
    <xdr:sp macro="" textlink="">
      <xdr:nvSpPr>
        <xdr:cNvPr id="8827" name="Line 477">
          <a:extLst>
            <a:ext uri="{FF2B5EF4-FFF2-40B4-BE49-F238E27FC236}">
              <a16:creationId xmlns:a16="http://schemas.microsoft.com/office/drawing/2014/main" id="{00000000-0008-0000-0300-00007B220000}"/>
            </a:ext>
          </a:extLst>
        </xdr:cNvPr>
        <xdr:cNvSpPr>
          <a:spLocks noChangeShapeType="1"/>
        </xdr:cNvSpPr>
      </xdr:nvSpPr>
      <xdr:spPr bwMode="auto">
        <a:xfrm flipV="1">
          <a:off x="7153275" y="25279350"/>
          <a:ext cx="295275" cy="10001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19</xdr:col>
      <xdr:colOff>0</xdr:colOff>
      <xdr:row>131</xdr:row>
      <xdr:rowOff>0</xdr:rowOff>
    </xdr:from>
    <xdr:to>
      <xdr:col>19</xdr:col>
      <xdr:colOff>152400</xdr:colOff>
      <xdr:row>131</xdr:row>
      <xdr:rowOff>152400</xdr:rowOff>
    </xdr:to>
    <xdr:sp macro="" textlink="">
      <xdr:nvSpPr>
        <xdr:cNvPr id="8828" name="Triangle 8827">
          <a:extLst>
            <a:ext uri="{FF2B5EF4-FFF2-40B4-BE49-F238E27FC236}">
              <a16:creationId xmlns:a16="http://schemas.microsoft.com/office/drawing/2014/main" id="{00000000-0008-0000-0300-00007C220000}"/>
            </a:ext>
          </a:extLst>
        </xdr:cNvPr>
        <xdr:cNvSpPr/>
      </xdr:nvSpPr>
      <xdr:spPr>
        <a:xfrm rot="16200000">
          <a:off x="8820150" y="26203275"/>
          <a:ext cx="152400" cy="152400"/>
        </a:xfrm>
        <a:prstGeom prst="triangle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76200</xdr:rowOff>
    </xdr:from>
    <xdr:to>
      <xdr:col>19</xdr:col>
      <xdr:colOff>0</xdr:colOff>
      <xdr:row>131</xdr:row>
      <xdr:rowOff>76200</xdr:rowOff>
    </xdr:to>
    <xdr:sp macro="" textlink="">
      <xdr:nvSpPr>
        <xdr:cNvPr id="8829" name="Line 478">
          <a:extLst>
            <a:ext uri="{FF2B5EF4-FFF2-40B4-BE49-F238E27FC236}">
              <a16:creationId xmlns:a16="http://schemas.microsoft.com/office/drawing/2014/main" id="{00000000-0008-0000-0300-00007D220000}"/>
            </a:ext>
          </a:extLst>
        </xdr:cNvPr>
        <xdr:cNvSpPr>
          <a:spLocks noChangeShapeType="1"/>
        </xdr:cNvSpPr>
      </xdr:nvSpPr>
      <xdr:spPr bwMode="auto">
        <a:xfrm>
          <a:off x="7448550" y="26279475"/>
          <a:ext cx="13716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152400</xdr:colOff>
      <xdr:row>131</xdr:row>
      <xdr:rowOff>76200</xdr:rowOff>
    </xdr:from>
    <xdr:to>
      <xdr:col>17</xdr:col>
      <xdr:colOff>0</xdr:colOff>
      <xdr:row>131</xdr:row>
      <xdr:rowOff>76200</xdr:rowOff>
    </xdr:to>
    <xdr:sp macro="" textlink="">
      <xdr:nvSpPr>
        <xdr:cNvPr id="8830" name="Line 479">
          <a:extLst>
            <a:ext uri="{FF2B5EF4-FFF2-40B4-BE49-F238E27FC236}">
              <a16:creationId xmlns:a16="http://schemas.microsoft.com/office/drawing/2014/main" id="{00000000-0008-0000-0300-00007E220000}"/>
            </a:ext>
          </a:extLst>
        </xdr:cNvPr>
        <xdr:cNvSpPr>
          <a:spLocks noChangeShapeType="1"/>
        </xdr:cNvSpPr>
      </xdr:nvSpPr>
      <xdr:spPr bwMode="auto">
        <a:xfrm>
          <a:off x="7153275" y="26279475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152400</xdr:colOff>
      <xdr:row>59</xdr:row>
      <xdr:rowOff>152400</xdr:rowOff>
    </xdr:to>
    <xdr:sp macro="" textlink="">
      <xdr:nvSpPr>
        <xdr:cNvPr id="8831" name="Square 8830">
          <a:extLst>
            <a:ext uri="{FF2B5EF4-FFF2-40B4-BE49-F238E27FC236}">
              <a16:creationId xmlns:a16="http://schemas.microsoft.com/office/drawing/2014/main" id="{00000000-0008-0000-0300-00007F220000}"/>
            </a:ext>
          </a:extLst>
        </xdr:cNvPr>
        <xdr:cNvSpPr/>
      </xdr:nvSpPr>
      <xdr:spPr>
        <a:xfrm>
          <a:off x="1543050" y="11801475"/>
          <a:ext cx="152400" cy="152400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59</xdr:row>
      <xdr:rowOff>76200</xdr:rowOff>
    </xdr:from>
    <xdr:to>
      <xdr:col>3</xdr:col>
      <xdr:colOff>0</xdr:colOff>
      <xdr:row>59</xdr:row>
      <xdr:rowOff>76200</xdr:rowOff>
    </xdr:to>
    <xdr:sp macro="" textlink="">
      <xdr:nvSpPr>
        <xdr:cNvPr id="8832" name="Line 480">
          <a:extLst>
            <a:ext uri="{FF2B5EF4-FFF2-40B4-BE49-F238E27FC236}">
              <a16:creationId xmlns:a16="http://schemas.microsoft.com/office/drawing/2014/main" id="{00000000-0008-0000-0300-000080220000}"/>
            </a:ext>
          </a:extLst>
        </xdr:cNvPr>
        <xdr:cNvSpPr>
          <a:spLocks noChangeShapeType="1"/>
        </xdr:cNvSpPr>
      </xdr:nvSpPr>
      <xdr:spPr bwMode="auto">
        <a:xfrm>
          <a:off x="857250" y="11877675"/>
          <a:ext cx="6858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29" zoomScale="136" zoomScaleNormal="136" workbookViewId="0">
      <selection activeCell="A6" sqref="A6:A7"/>
    </sheetView>
  </sheetViews>
  <sheetFormatPr baseColWidth="10" defaultColWidth="10.6640625" defaultRowHeight="13"/>
  <cols>
    <col min="1" max="1" width="16.1640625" style="11" customWidth="1"/>
    <col min="2" max="2" width="22.6640625" style="11" customWidth="1"/>
    <col min="3" max="3" width="22" style="11" customWidth="1"/>
    <col min="4" max="4" width="21.1640625" style="11" customWidth="1"/>
    <col min="5" max="5" width="21.6640625" style="11" customWidth="1"/>
    <col min="6" max="6" width="10.6640625" style="11" customWidth="1"/>
    <col min="7" max="16384" width="10.6640625" style="11"/>
  </cols>
  <sheetData>
    <row r="1" spans="1:4" ht="18" customHeight="1">
      <c r="A1" s="10" t="s">
        <v>91</v>
      </c>
    </row>
    <row r="3" spans="1:4" ht="19.25" customHeight="1">
      <c r="A3" s="79" t="s">
        <v>12</v>
      </c>
      <c r="B3" s="80"/>
      <c r="C3" s="80"/>
      <c r="D3" s="81"/>
    </row>
    <row r="4" spans="1:4" ht="43.25" customHeight="1">
      <c r="A4" s="91" t="s">
        <v>76</v>
      </c>
      <c r="B4" s="92"/>
      <c r="C4" s="92"/>
      <c r="D4" s="93"/>
    </row>
    <row r="5" spans="1:4" ht="42" customHeight="1">
      <c r="A5" s="94" t="s">
        <v>77</v>
      </c>
      <c r="B5" s="95"/>
      <c r="C5" s="95"/>
      <c r="D5" s="96"/>
    </row>
    <row r="6" spans="1:4" ht="18" customHeight="1">
      <c r="A6" s="106" t="s">
        <v>10</v>
      </c>
      <c r="B6" s="76" t="s">
        <v>11</v>
      </c>
      <c r="C6" s="76"/>
      <c r="D6" s="76"/>
    </row>
    <row r="7" spans="1:4" ht="18" customHeight="1">
      <c r="A7" s="106"/>
      <c r="B7" s="23" t="s">
        <v>4</v>
      </c>
      <c r="C7" s="23" t="s">
        <v>5</v>
      </c>
      <c r="D7" s="23" t="s">
        <v>6</v>
      </c>
    </row>
    <row r="8" spans="1:4" ht="17" customHeight="1">
      <c r="A8" s="1" t="s">
        <v>1</v>
      </c>
      <c r="B8" s="2" t="s">
        <v>13</v>
      </c>
      <c r="C8" s="2" t="s">
        <v>14</v>
      </c>
      <c r="D8" s="2" t="s">
        <v>15</v>
      </c>
    </row>
    <row r="9" spans="1:4" ht="17" customHeight="1">
      <c r="A9" s="1" t="s">
        <v>2</v>
      </c>
      <c r="B9" s="2" t="s">
        <v>8</v>
      </c>
      <c r="C9" s="2" t="s">
        <v>9</v>
      </c>
      <c r="D9" s="2" t="s">
        <v>16</v>
      </c>
    </row>
    <row r="10" spans="1:4" ht="17" customHeight="1">
      <c r="A10" s="1" t="s">
        <v>3</v>
      </c>
      <c r="B10" s="2" t="s">
        <v>17</v>
      </c>
      <c r="C10" s="2" t="s">
        <v>18</v>
      </c>
      <c r="D10" s="2" t="s">
        <v>19</v>
      </c>
    </row>
    <row r="11" spans="1:4" ht="17" customHeight="1">
      <c r="A11" s="1" t="s">
        <v>0</v>
      </c>
      <c r="B11" s="2" t="s">
        <v>65</v>
      </c>
      <c r="C11" s="2" t="s">
        <v>66</v>
      </c>
      <c r="D11" s="2" t="s">
        <v>67</v>
      </c>
    </row>
    <row r="12" spans="1:4" ht="32" customHeight="1">
      <c r="A12" s="97" t="s">
        <v>78</v>
      </c>
      <c r="B12" s="98"/>
      <c r="C12" s="98"/>
      <c r="D12" s="99"/>
    </row>
    <row r="13" spans="1:4" ht="40.25" customHeight="1">
      <c r="A13" s="100"/>
      <c r="B13" s="101"/>
      <c r="C13" s="101"/>
      <c r="D13" s="102"/>
    </row>
    <row r="14" spans="1:4" ht="13.25" customHeight="1">
      <c r="A14" s="77" t="s">
        <v>79</v>
      </c>
      <c r="B14" s="77"/>
      <c r="C14" s="77"/>
      <c r="D14" s="78"/>
    </row>
    <row r="15" spans="1:4" ht="13.25" customHeight="1">
      <c r="A15" s="24" t="s">
        <v>51</v>
      </c>
      <c r="B15" s="19" t="s">
        <v>62</v>
      </c>
      <c r="C15" s="21"/>
      <c r="D15" s="22"/>
    </row>
    <row r="16" spans="1:4" ht="14" customHeight="1">
      <c r="A16" s="20" t="s">
        <v>80</v>
      </c>
      <c r="B16" s="2" t="s">
        <v>27</v>
      </c>
      <c r="C16" s="21"/>
      <c r="D16" s="22"/>
    </row>
    <row r="17" spans="1:4" ht="14" customHeight="1">
      <c r="A17" s="20" t="s">
        <v>81</v>
      </c>
      <c r="B17" s="2" t="s">
        <v>61</v>
      </c>
      <c r="C17" s="21"/>
      <c r="D17" s="22"/>
    </row>
    <row r="18" spans="1:4" ht="21" customHeight="1">
      <c r="A18" s="103" t="s">
        <v>122</v>
      </c>
      <c r="B18" s="104"/>
      <c r="C18" s="104"/>
      <c r="D18" s="105"/>
    </row>
    <row r="19" spans="1:4" ht="17" customHeight="1">
      <c r="A19" s="106" t="s">
        <v>10</v>
      </c>
      <c r="B19" s="76" t="s">
        <v>11</v>
      </c>
      <c r="C19" s="76"/>
      <c r="D19" s="76"/>
    </row>
    <row r="20" spans="1:4" ht="17" customHeight="1">
      <c r="A20" s="106"/>
      <c r="B20" s="23" t="s">
        <v>4</v>
      </c>
      <c r="C20" s="23" t="s">
        <v>5</v>
      </c>
      <c r="D20" s="23" t="s">
        <v>6</v>
      </c>
    </row>
    <row r="21" spans="1:4" ht="18" customHeight="1">
      <c r="A21" s="1" t="s">
        <v>1</v>
      </c>
      <c r="B21" s="2" t="s">
        <v>52</v>
      </c>
      <c r="C21" s="2" t="s">
        <v>55</v>
      </c>
      <c r="D21" s="2" t="s">
        <v>58</v>
      </c>
    </row>
    <row r="22" spans="1:4" ht="18" customHeight="1">
      <c r="A22" s="1" t="s">
        <v>2</v>
      </c>
      <c r="B22" s="2" t="s">
        <v>53</v>
      </c>
      <c r="C22" s="2" t="s">
        <v>56</v>
      </c>
      <c r="D22" s="2" t="s">
        <v>59</v>
      </c>
    </row>
    <row r="23" spans="1:4" ht="18" customHeight="1">
      <c r="A23" s="1" t="s">
        <v>3</v>
      </c>
      <c r="B23" s="2" t="s">
        <v>54</v>
      </c>
      <c r="C23" s="2" t="s">
        <v>57</v>
      </c>
      <c r="D23" s="2" t="s">
        <v>60</v>
      </c>
    </row>
    <row r="24" spans="1:4" ht="18" customHeight="1">
      <c r="A24" s="1" t="s">
        <v>0</v>
      </c>
      <c r="B24" s="2" t="s">
        <v>22</v>
      </c>
      <c r="C24" s="2" t="s">
        <v>23</v>
      </c>
      <c r="D24" s="2" t="s">
        <v>24</v>
      </c>
    </row>
    <row r="25" spans="1:4" ht="18" customHeight="1">
      <c r="A25" s="108" t="s">
        <v>82</v>
      </c>
      <c r="B25" s="109"/>
      <c r="C25" s="109"/>
      <c r="D25" s="110"/>
    </row>
    <row r="26" spans="1:4" ht="18" customHeight="1">
      <c r="A26" s="106" t="s">
        <v>10</v>
      </c>
      <c r="B26" s="76" t="s">
        <v>11</v>
      </c>
      <c r="C26" s="76"/>
      <c r="D26" s="76"/>
    </row>
    <row r="27" spans="1:4" ht="18" customHeight="1">
      <c r="A27" s="106"/>
      <c r="B27" s="23" t="s">
        <v>4</v>
      </c>
      <c r="C27" s="23" t="s">
        <v>5</v>
      </c>
      <c r="D27" s="23" t="s">
        <v>6</v>
      </c>
    </row>
    <row r="28" spans="1:4" ht="18" customHeight="1">
      <c r="A28" s="1" t="s">
        <v>1</v>
      </c>
      <c r="B28" s="2" t="s">
        <v>98</v>
      </c>
      <c r="C28" s="2" t="s">
        <v>55</v>
      </c>
      <c r="D28" s="2" t="s">
        <v>58</v>
      </c>
    </row>
    <row r="29" spans="1:4" ht="18" customHeight="1">
      <c r="A29" s="1" t="s">
        <v>2</v>
      </c>
      <c r="B29" s="2" t="s">
        <v>53</v>
      </c>
      <c r="C29" s="2" t="s">
        <v>56</v>
      </c>
      <c r="D29" s="2" t="s">
        <v>59</v>
      </c>
    </row>
    <row r="30" spans="1:4" ht="18" customHeight="1">
      <c r="A30" s="1" t="s">
        <v>3</v>
      </c>
      <c r="B30" s="2" t="s">
        <v>54</v>
      </c>
      <c r="C30" s="2" t="s">
        <v>57</v>
      </c>
      <c r="D30" s="2" t="s">
        <v>60</v>
      </c>
    </row>
    <row r="31" spans="1:4" ht="18" customHeight="1">
      <c r="A31" s="1" t="s">
        <v>0</v>
      </c>
      <c r="B31" s="2" t="s">
        <v>25</v>
      </c>
      <c r="C31" s="2" t="s">
        <v>26</v>
      </c>
      <c r="D31" s="2" t="s">
        <v>68</v>
      </c>
    </row>
    <row r="32" spans="1:4">
      <c r="A32" s="107"/>
      <c r="B32" s="107"/>
      <c r="C32" s="107"/>
      <c r="D32" s="107"/>
    </row>
    <row r="33" spans="1:6" ht="16.25" customHeight="1">
      <c r="A33" s="82" t="s">
        <v>28</v>
      </c>
      <c r="B33" s="83"/>
      <c r="C33" s="83"/>
      <c r="D33" s="84"/>
      <c r="E33" s="12"/>
    </row>
    <row r="34" spans="1:6" ht="20" customHeight="1">
      <c r="A34" s="85" t="s">
        <v>83</v>
      </c>
      <c r="B34" s="86"/>
      <c r="C34" s="86"/>
      <c r="D34" s="87"/>
      <c r="E34" s="111" t="s">
        <v>38</v>
      </c>
      <c r="F34" s="112"/>
    </row>
    <row r="35" spans="1:6" ht="50" customHeight="1">
      <c r="A35" s="88"/>
      <c r="B35" s="89"/>
      <c r="C35" s="89"/>
      <c r="D35" s="90"/>
      <c r="E35" s="7" t="s">
        <v>39</v>
      </c>
      <c r="F35" s="7" t="s">
        <v>40</v>
      </c>
    </row>
    <row r="36" spans="1:6" ht="21" customHeight="1">
      <c r="A36" s="3" t="s">
        <v>29</v>
      </c>
      <c r="B36" s="127" t="s">
        <v>30</v>
      </c>
      <c r="C36" s="128"/>
      <c r="D36" s="129"/>
      <c r="E36" s="3"/>
      <c r="F36" s="3">
        <v>10</v>
      </c>
    </row>
    <row r="37" spans="1:6" ht="84" customHeight="1">
      <c r="A37" s="3" t="s">
        <v>31</v>
      </c>
      <c r="B37" s="113" t="s">
        <v>84</v>
      </c>
      <c r="C37" s="114"/>
      <c r="D37" s="115"/>
      <c r="E37" s="3">
        <v>1</v>
      </c>
      <c r="F37" s="13"/>
    </row>
    <row r="38" spans="1:6" ht="27" customHeight="1">
      <c r="A38" s="4" t="s">
        <v>32</v>
      </c>
      <c r="B38" s="113" t="s">
        <v>85</v>
      </c>
      <c r="C38" s="114"/>
      <c r="D38" s="115"/>
      <c r="E38" s="14">
        <v>2</v>
      </c>
      <c r="F38" s="15"/>
    </row>
    <row r="39" spans="1:6" ht="72" customHeight="1">
      <c r="A39" s="5" t="s">
        <v>33</v>
      </c>
      <c r="B39" s="116" t="s">
        <v>86</v>
      </c>
      <c r="C39" s="117"/>
      <c r="D39" s="118"/>
      <c r="E39" s="16">
        <v>2</v>
      </c>
      <c r="F39" s="15"/>
    </row>
    <row r="40" spans="1:6" ht="47" customHeight="1">
      <c r="A40" s="5" t="s">
        <v>34</v>
      </c>
      <c r="B40" s="119" t="s">
        <v>121</v>
      </c>
      <c r="C40" s="120"/>
      <c r="D40" s="121"/>
      <c r="E40" s="16">
        <v>2</v>
      </c>
      <c r="F40" s="15"/>
    </row>
    <row r="41" spans="1:6" ht="50" customHeight="1">
      <c r="A41" s="6" t="s">
        <v>35</v>
      </c>
      <c r="B41" s="124" t="s">
        <v>99</v>
      </c>
      <c r="C41" s="125"/>
      <c r="D41" s="126"/>
      <c r="E41" s="17">
        <v>2</v>
      </c>
      <c r="F41" s="18"/>
    </row>
    <row r="42" spans="1:6" ht="30" customHeight="1">
      <c r="A42" s="3" t="s">
        <v>36</v>
      </c>
      <c r="B42" s="113" t="s">
        <v>37</v>
      </c>
      <c r="C42" s="114"/>
      <c r="D42" s="115"/>
      <c r="E42" s="3">
        <v>1</v>
      </c>
      <c r="F42" s="9"/>
    </row>
    <row r="43" spans="1:6" ht="16.25" customHeight="1"/>
    <row r="44" spans="1:6" ht="18" customHeight="1">
      <c r="A44" s="8"/>
      <c r="B44" s="123" t="s">
        <v>41</v>
      </c>
      <c r="C44" s="123"/>
      <c r="D44" s="123"/>
      <c r="E44" s="123"/>
    </row>
    <row r="45" spans="1:6" ht="20" customHeight="1">
      <c r="A45" s="9" t="s">
        <v>42</v>
      </c>
      <c r="B45" s="113" t="s">
        <v>43</v>
      </c>
      <c r="C45" s="114"/>
      <c r="D45" s="114"/>
      <c r="E45" s="115"/>
    </row>
    <row r="46" spans="1:6" ht="21" customHeight="1">
      <c r="A46" s="9" t="s">
        <v>44</v>
      </c>
      <c r="B46" s="113" t="s">
        <v>45</v>
      </c>
      <c r="C46" s="114"/>
      <c r="D46" s="114"/>
      <c r="E46" s="115"/>
    </row>
    <row r="47" spans="1:6" ht="19.25" customHeight="1">
      <c r="A47" s="9" t="s">
        <v>46</v>
      </c>
      <c r="B47" s="122" t="s">
        <v>87</v>
      </c>
      <c r="C47" s="122"/>
      <c r="D47" s="122"/>
      <c r="E47" s="122"/>
    </row>
    <row r="48" spans="1:6" ht="30" customHeight="1">
      <c r="A48" s="9" t="s">
        <v>47</v>
      </c>
      <c r="B48" s="122" t="s">
        <v>88</v>
      </c>
      <c r="C48" s="122"/>
      <c r="D48" s="122"/>
      <c r="E48" s="122"/>
    </row>
    <row r="49" spans="1:5" ht="47" customHeight="1">
      <c r="A49" s="9" t="s">
        <v>48</v>
      </c>
      <c r="B49" s="122" t="s">
        <v>89</v>
      </c>
      <c r="C49" s="122"/>
      <c r="D49" s="122"/>
      <c r="E49" s="122"/>
    </row>
    <row r="50" spans="1:5" ht="19.25" customHeight="1">
      <c r="A50" s="9" t="s">
        <v>49</v>
      </c>
      <c r="B50" s="122" t="s">
        <v>50</v>
      </c>
      <c r="C50" s="122"/>
      <c r="D50" s="122"/>
      <c r="E50" s="122"/>
    </row>
  </sheetData>
  <mergeCells count="31">
    <mergeCell ref="E34:F34"/>
    <mergeCell ref="B38:D38"/>
    <mergeCell ref="B39:D39"/>
    <mergeCell ref="B40:D40"/>
    <mergeCell ref="B50:E50"/>
    <mergeCell ref="B44:E44"/>
    <mergeCell ref="B45:E45"/>
    <mergeCell ref="B46:E46"/>
    <mergeCell ref="B47:E47"/>
    <mergeCell ref="B48:E48"/>
    <mergeCell ref="B49:E49"/>
    <mergeCell ref="B41:D41"/>
    <mergeCell ref="B42:D42"/>
    <mergeCell ref="B36:D36"/>
    <mergeCell ref="B37:D37"/>
    <mergeCell ref="B26:D26"/>
    <mergeCell ref="A14:D14"/>
    <mergeCell ref="A3:D3"/>
    <mergeCell ref="A33:D33"/>
    <mergeCell ref="A34:D35"/>
    <mergeCell ref="A4:D4"/>
    <mergeCell ref="A5:D5"/>
    <mergeCell ref="A12:D13"/>
    <mergeCell ref="A18:D18"/>
    <mergeCell ref="A19:A20"/>
    <mergeCell ref="B19:D19"/>
    <mergeCell ref="B6:D6"/>
    <mergeCell ref="A6:A7"/>
    <mergeCell ref="A32:D32"/>
    <mergeCell ref="A25:D25"/>
    <mergeCell ref="A26:A27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="125" zoomScaleNormal="110" workbookViewId="0">
      <selection activeCell="A12" sqref="A12"/>
    </sheetView>
  </sheetViews>
  <sheetFormatPr baseColWidth="10" defaultColWidth="10.6640625" defaultRowHeight="13"/>
  <cols>
    <col min="1" max="1" width="36.1640625" style="11" customWidth="1"/>
    <col min="2" max="2" width="21.5" style="27" customWidth="1"/>
    <col min="3" max="3" width="19.1640625" style="27" customWidth="1"/>
    <col min="4" max="4" width="25.33203125" style="27" bestFit="1" customWidth="1"/>
    <col min="5" max="5" width="11.1640625" style="11" customWidth="1"/>
    <col min="6" max="16384" width="10.6640625" style="11"/>
  </cols>
  <sheetData>
    <row r="1" spans="1:5" ht="14">
      <c r="A1" s="31" t="s">
        <v>10</v>
      </c>
      <c r="B1" s="31" t="s">
        <v>4</v>
      </c>
      <c r="C1" s="31" t="s">
        <v>5</v>
      </c>
      <c r="D1" s="31" t="s">
        <v>6</v>
      </c>
      <c r="E1" s="30"/>
    </row>
    <row r="2" spans="1:5" ht="16">
      <c r="A2" s="38" t="s">
        <v>1</v>
      </c>
      <c r="B2" s="39">
        <v>310000</v>
      </c>
      <c r="C2" s="39">
        <v>190000</v>
      </c>
      <c r="D2" s="39">
        <v>-120000</v>
      </c>
      <c r="E2" s="30"/>
    </row>
    <row r="3" spans="1:5" ht="16">
      <c r="A3" s="38" t="s">
        <v>2</v>
      </c>
      <c r="B3" s="39">
        <v>420000</v>
      </c>
      <c r="C3" s="39">
        <v>320000</v>
      </c>
      <c r="D3" s="39">
        <v>-80000</v>
      </c>
      <c r="E3" s="30"/>
    </row>
    <row r="4" spans="1:5" ht="16">
      <c r="A4" s="38" t="s">
        <v>3</v>
      </c>
      <c r="B4" s="39">
        <v>340000</v>
      </c>
      <c r="C4" s="39">
        <v>210000</v>
      </c>
      <c r="D4" s="39">
        <v>-220000</v>
      </c>
      <c r="E4" s="30"/>
    </row>
    <row r="5" spans="1:5" ht="16">
      <c r="A5" s="38" t="s">
        <v>0</v>
      </c>
      <c r="B5" s="39">
        <v>0.36</v>
      </c>
      <c r="C5" s="39">
        <v>0.52</v>
      </c>
      <c r="D5" s="39">
        <v>0.12</v>
      </c>
      <c r="E5" s="30"/>
    </row>
    <row r="6" spans="1:5" ht="16">
      <c r="A6" s="38"/>
      <c r="B6" s="39"/>
      <c r="C6" s="39"/>
      <c r="D6" s="39"/>
      <c r="E6" s="30"/>
    </row>
    <row r="7" spans="1:5" ht="16">
      <c r="A7" s="38" t="s">
        <v>51</v>
      </c>
      <c r="B7" s="39">
        <v>7000</v>
      </c>
      <c r="C7" s="39"/>
      <c r="D7" s="39"/>
      <c r="E7" s="30"/>
    </row>
    <row r="8" spans="1:5" ht="16">
      <c r="A8" s="38" t="s">
        <v>80</v>
      </c>
      <c r="B8" s="38">
        <v>0.54</v>
      </c>
      <c r="C8" s="38"/>
      <c r="D8" s="38"/>
      <c r="E8" s="30"/>
    </row>
    <row r="9" spans="1:5" ht="16">
      <c r="A9" s="38" t="s">
        <v>81</v>
      </c>
      <c r="B9" s="38">
        <v>0.46</v>
      </c>
      <c r="C9" s="38"/>
      <c r="D9" s="38"/>
      <c r="E9" s="30"/>
    </row>
    <row r="10" spans="1:5" ht="16">
      <c r="A10" s="38"/>
      <c r="B10" s="38"/>
      <c r="C10" s="38"/>
      <c r="D10" s="38"/>
      <c r="E10" s="30"/>
    </row>
    <row r="11" spans="1:5" ht="15">
      <c r="A11" s="40" t="s">
        <v>95</v>
      </c>
      <c r="B11" s="40" t="s">
        <v>4</v>
      </c>
      <c r="C11" s="40" t="s">
        <v>5</v>
      </c>
      <c r="D11" s="40" t="s">
        <v>6</v>
      </c>
      <c r="E11" s="30"/>
    </row>
    <row r="12" spans="1:5" ht="16">
      <c r="A12" s="38" t="s">
        <v>96</v>
      </c>
      <c r="B12" s="38">
        <v>0.5</v>
      </c>
      <c r="C12" s="38">
        <v>0.37</v>
      </c>
      <c r="D12" s="38">
        <v>0.13</v>
      </c>
      <c r="E12" s="30"/>
    </row>
    <row r="13" spans="1:5" ht="16">
      <c r="A13" s="38"/>
      <c r="B13" s="38"/>
      <c r="C13" s="38"/>
      <c r="D13" s="38"/>
      <c r="E13" s="30"/>
    </row>
    <row r="14" spans="1:5" ht="15">
      <c r="A14" s="40" t="s">
        <v>97</v>
      </c>
      <c r="B14" s="40" t="s">
        <v>4</v>
      </c>
      <c r="C14" s="40" t="s">
        <v>5</v>
      </c>
      <c r="D14" s="40" t="s">
        <v>6</v>
      </c>
      <c r="E14" s="30"/>
    </row>
    <row r="15" spans="1:5" ht="16">
      <c r="A15" s="38" t="s">
        <v>96</v>
      </c>
      <c r="B15" s="38">
        <v>0.13</v>
      </c>
      <c r="C15" s="38">
        <v>0.3</v>
      </c>
      <c r="D15" s="38">
        <v>0.56999999999999995</v>
      </c>
      <c r="E15" s="30"/>
    </row>
    <row r="16" spans="1:5">
      <c r="E16" s="30"/>
    </row>
    <row r="17" spans="5:5">
      <c r="E17" s="30"/>
    </row>
    <row r="22" spans="5:5" ht="15" customHeight="1"/>
  </sheetData>
  <phoneticPr fontId="10" type="noConversion"/>
  <pageMargins left="0.45" right="0.45" top="0.5" bottom="0.5" header="0.3" footer="0.3"/>
  <pageSetup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zoomScale="85" zoomScaleNormal="85" workbookViewId="0">
      <selection activeCell="D83" sqref="D83"/>
    </sheetView>
  </sheetViews>
  <sheetFormatPr baseColWidth="10" defaultColWidth="11.1640625" defaultRowHeight="13"/>
  <cols>
    <col min="1" max="1" width="32.5" style="11" customWidth="1"/>
    <col min="2" max="4" width="20.6640625" style="11" customWidth="1"/>
    <col min="5" max="5" width="10.6640625" style="11"/>
    <col min="6" max="16384" width="11.1640625" style="11"/>
  </cols>
  <sheetData>
    <row r="1" spans="1:4" ht="17" customHeight="1">
      <c r="A1" s="32" t="s">
        <v>94</v>
      </c>
      <c r="B1" s="33"/>
      <c r="C1" s="33"/>
      <c r="D1" s="33"/>
    </row>
    <row r="2" spans="1:4" ht="13.25" customHeight="1">
      <c r="A2" s="130" t="s">
        <v>10</v>
      </c>
      <c r="B2" s="131" t="s">
        <v>11</v>
      </c>
      <c r="C2" s="131"/>
      <c r="D2" s="131"/>
    </row>
    <row r="3" spans="1:4" ht="15" customHeight="1">
      <c r="A3" s="130"/>
      <c r="B3" s="34" t="s">
        <v>144</v>
      </c>
      <c r="C3" s="34" t="s">
        <v>5</v>
      </c>
      <c r="D3" s="34" t="s">
        <v>6</v>
      </c>
    </row>
    <row r="4" spans="1:4" ht="16">
      <c r="A4" s="35" t="s">
        <v>1</v>
      </c>
      <c r="B4" s="36">
        <f>'Payoff Table Template'!B2</f>
        <v>310000</v>
      </c>
      <c r="C4" s="36">
        <f>'Payoff Table Template'!C2</f>
        <v>190000</v>
      </c>
      <c r="D4" s="36">
        <f>'Payoff Table Template'!D2</f>
        <v>-120000</v>
      </c>
    </row>
    <row r="5" spans="1:4" ht="16">
      <c r="A5" s="35" t="s">
        <v>2</v>
      </c>
      <c r="B5" s="36">
        <f>'Payoff Table Template'!B3</f>
        <v>420000</v>
      </c>
      <c r="C5" s="36">
        <f>'Payoff Table Template'!C3</f>
        <v>320000</v>
      </c>
      <c r="D5" s="36">
        <f>'Payoff Table Template'!D3</f>
        <v>-80000</v>
      </c>
    </row>
    <row r="6" spans="1:4" ht="16">
      <c r="A6" s="35" t="s">
        <v>3</v>
      </c>
      <c r="B6" s="36">
        <f>'Payoff Table Template'!B4</f>
        <v>340000</v>
      </c>
      <c r="C6" s="36">
        <f>'Payoff Table Template'!C4</f>
        <v>210000</v>
      </c>
      <c r="D6" s="36">
        <f>'Payoff Table Template'!D4</f>
        <v>-220000</v>
      </c>
    </row>
    <row r="7" spans="1:4" ht="16">
      <c r="A7" s="35" t="s">
        <v>0</v>
      </c>
      <c r="B7" s="36">
        <v>0.36</v>
      </c>
      <c r="C7" s="36">
        <v>0.52</v>
      </c>
      <c r="D7" s="36">
        <v>0.12</v>
      </c>
    </row>
    <row r="8" spans="1:4" ht="13.25" customHeight="1">
      <c r="A8" s="33"/>
      <c r="B8" s="33"/>
      <c r="C8" s="37"/>
      <c r="D8" s="37"/>
    </row>
    <row r="9" spans="1:4" ht="14">
      <c r="A9" s="32" t="s">
        <v>93</v>
      </c>
      <c r="B9" s="33"/>
      <c r="C9" s="33"/>
      <c r="D9" s="33"/>
    </row>
    <row r="10" spans="1:4" ht="16">
      <c r="A10" s="35" t="s">
        <v>51</v>
      </c>
      <c r="B10" s="36">
        <f>'Payoff Table Template'!B7</f>
        <v>7000</v>
      </c>
      <c r="C10" s="33"/>
      <c r="D10" s="33"/>
    </row>
    <row r="11" spans="1:4" ht="14">
      <c r="A11" s="33"/>
      <c r="B11" s="33"/>
      <c r="C11" s="33"/>
      <c r="D11" s="33"/>
    </row>
    <row r="12" spans="1:4" ht="14">
      <c r="A12" s="33" t="s">
        <v>20</v>
      </c>
      <c r="B12" s="33"/>
      <c r="C12" s="33"/>
      <c r="D12" s="33"/>
    </row>
    <row r="13" spans="1:4" ht="14">
      <c r="A13" s="130" t="s">
        <v>10</v>
      </c>
      <c r="B13" s="131" t="s">
        <v>11</v>
      </c>
      <c r="C13" s="131"/>
      <c r="D13" s="131"/>
    </row>
    <row r="14" spans="1:4" ht="15">
      <c r="A14" s="130"/>
      <c r="B14" s="34" t="s">
        <v>4</v>
      </c>
      <c r="C14" s="34" t="s">
        <v>5</v>
      </c>
      <c r="D14" s="34" t="s">
        <v>6</v>
      </c>
    </row>
    <row r="15" spans="1:4" ht="16">
      <c r="A15" s="35" t="s">
        <v>1</v>
      </c>
      <c r="B15" s="36">
        <f>B4-$B$10</f>
        <v>303000</v>
      </c>
      <c r="C15" s="36">
        <f t="shared" ref="C15:D15" si="0">C4-$B$10</f>
        <v>183000</v>
      </c>
      <c r="D15" s="36">
        <f t="shared" si="0"/>
        <v>-127000</v>
      </c>
    </row>
    <row r="16" spans="1:4" ht="16">
      <c r="A16" s="35" t="s">
        <v>2</v>
      </c>
      <c r="B16" s="36">
        <f t="shared" ref="B16:D16" si="1">B5-$B$10</f>
        <v>413000</v>
      </c>
      <c r="C16" s="36">
        <f t="shared" si="1"/>
        <v>313000</v>
      </c>
      <c r="D16" s="36">
        <f t="shared" si="1"/>
        <v>-87000</v>
      </c>
    </row>
    <row r="17" spans="1:4" ht="16">
      <c r="A17" s="35" t="s">
        <v>3</v>
      </c>
      <c r="B17" s="36">
        <f>B6-$B$10</f>
        <v>333000</v>
      </c>
      <c r="C17" s="36">
        <f t="shared" ref="C17:D17" si="2">C6-$B$10</f>
        <v>203000</v>
      </c>
      <c r="D17" s="36">
        <f t="shared" si="2"/>
        <v>-227000</v>
      </c>
    </row>
    <row r="18" spans="1:4" ht="16">
      <c r="A18" s="35" t="s">
        <v>0</v>
      </c>
      <c r="B18" s="36">
        <v>0.5</v>
      </c>
      <c r="C18" s="36">
        <v>0.37</v>
      </c>
      <c r="D18" s="36">
        <v>0.13</v>
      </c>
    </row>
    <row r="19" spans="1:4" ht="14">
      <c r="A19" s="33"/>
      <c r="B19" s="33"/>
      <c r="C19" s="33"/>
      <c r="D19" s="33"/>
    </row>
    <row r="20" spans="1:4" ht="14">
      <c r="A20" s="33" t="s">
        <v>21</v>
      </c>
      <c r="B20" s="33"/>
      <c r="C20" s="33"/>
      <c r="D20" s="33"/>
    </row>
    <row r="21" spans="1:4" ht="14">
      <c r="A21" s="130" t="s">
        <v>10</v>
      </c>
      <c r="B21" s="131" t="s">
        <v>11</v>
      </c>
      <c r="C21" s="131"/>
      <c r="D21" s="131"/>
    </row>
    <row r="22" spans="1:4" ht="15">
      <c r="A22" s="130"/>
      <c r="B22" s="34" t="s">
        <v>4</v>
      </c>
      <c r="C22" s="34" t="s">
        <v>5</v>
      </c>
      <c r="D22" s="34" t="s">
        <v>6</v>
      </c>
    </row>
    <row r="23" spans="1:4" ht="14">
      <c r="A23" s="35" t="s">
        <v>1</v>
      </c>
      <c r="B23" s="58">
        <f>B15</f>
        <v>303000</v>
      </c>
      <c r="C23" s="58">
        <f t="shared" ref="C23:D23" si="3">C15</f>
        <v>183000</v>
      </c>
      <c r="D23" s="58">
        <f t="shared" si="3"/>
        <v>-127000</v>
      </c>
    </row>
    <row r="24" spans="1:4" ht="14">
      <c r="A24" s="35" t="s">
        <v>2</v>
      </c>
      <c r="B24" s="58">
        <f t="shared" ref="B24:D24" si="4">B16</f>
        <v>413000</v>
      </c>
      <c r="C24" s="58">
        <f t="shared" si="4"/>
        <v>313000</v>
      </c>
      <c r="D24" s="58">
        <f t="shared" si="4"/>
        <v>-87000</v>
      </c>
    </row>
    <row r="25" spans="1:4" ht="14">
      <c r="A25" s="35" t="s">
        <v>3</v>
      </c>
      <c r="B25" s="58">
        <f t="shared" ref="B25:D25" si="5">B17</f>
        <v>333000</v>
      </c>
      <c r="C25" s="58">
        <f t="shared" si="5"/>
        <v>203000</v>
      </c>
      <c r="D25" s="58">
        <f t="shared" si="5"/>
        <v>-227000</v>
      </c>
    </row>
    <row r="26" spans="1:4" ht="16">
      <c r="A26" s="35" t="s">
        <v>0</v>
      </c>
      <c r="B26" s="36">
        <v>0.13</v>
      </c>
      <c r="C26" s="36">
        <v>0.3</v>
      </c>
      <c r="D26" s="36">
        <v>0.56999999999999995</v>
      </c>
    </row>
    <row r="27" spans="1:4" ht="12" customHeight="1">
      <c r="A27" s="33"/>
      <c r="B27" s="33"/>
      <c r="C27" s="33"/>
      <c r="D27" s="33"/>
    </row>
    <row r="28" spans="1:4" ht="17" customHeight="1">
      <c r="A28" s="32" t="s">
        <v>90</v>
      </c>
      <c r="B28" s="33"/>
      <c r="C28" s="33"/>
      <c r="D28" s="33"/>
    </row>
    <row r="31" spans="1:4" ht="29" customHeight="1"/>
    <row r="35" ht="25.25" customHeight="1"/>
  </sheetData>
  <mergeCells count="6">
    <mergeCell ref="A21:A22"/>
    <mergeCell ref="B21:D21"/>
    <mergeCell ref="A2:A3"/>
    <mergeCell ref="B2:D2"/>
    <mergeCell ref="A13:A14"/>
    <mergeCell ref="B13:D13"/>
  </mergeCells>
  <phoneticPr fontId="10" type="noConversion"/>
  <pageMargins left="0.45" right="0.45" top="0.5" bottom="0.5" header="0.3" footer="0.3"/>
  <pageSetup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tabSelected="1" zoomScale="136" zoomScaleNormal="115" workbookViewId="0">
      <selection activeCell="E24" sqref="E24"/>
    </sheetView>
  </sheetViews>
  <sheetFormatPr baseColWidth="10" defaultColWidth="11.1640625" defaultRowHeight="13"/>
  <cols>
    <col min="1" max="1" width="35.1640625" style="11" customWidth="1"/>
    <col min="2" max="2" width="16.6640625" style="11" customWidth="1"/>
    <col min="3" max="3" width="15.1640625" style="25" customWidth="1"/>
    <col min="4" max="4" width="17.6640625" style="11" customWidth="1"/>
    <col min="5" max="5" width="12.1640625" style="11" customWidth="1"/>
    <col min="6" max="6" width="12.1640625" style="26" customWidth="1"/>
    <col min="7" max="16384" width="11.1640625" style="11"/>
  </cols>
  <sheetData>
    <row r="1" spans="1:6" ht="12.75" customHeight="1">
      <c r="A1" s="27" t="s">
        <v>94</v>
      </c>
      <c r="B1" s="27"/>
      <c r="C1" s="41"/>
      <c r="D1" s="27"/>
      <c r="E1" s="42"/>
      <c r="F1" s="43"/>
    </row>
    <row r="2" spans="1:6" ht="16.25" customHeight="1">
      <c r="A2" s="134" t="s">
        <v>10</v>
      </c>
      <c r="B2" s="134" t="s">
        <v>11</v>
      </c>
      <c r="C2" s="134"/>
      <c r="D2" s="134"/>
      <c r="E2" s="132" t="s">
        <v>7</v>
      </c>
      <c r="F2" s="132" t="s">
        <v>75</v>
      </c>
    </row>
    <row r="3" spans="1:6" ht="14">
      <c r="A3" s="134"/>
      <c r="B3" s="44" t="s">
        <v>4</v>
      </c>
      <c r="C3" s="44" t="s">
        <v>5</v>
      </c>
      <c r="D3" s="44" t="s">
        <v>6</v>
      </c>
      <c r="E3" s="133"/>
      <c r="F3" s="133"/>
    </row>
    <row r="4" spans="1:6" ht="13" customHeight="1">
      <c r="A4" s="45" t="s">
        <v>1</v>
      </c>
      <c r="B4" s="46">
        <f>'Payoff Table Template'!B2</f>
        <v>310000</v>
      </c>
      <c r="C4" s="46">
        <f>'Payoff Table Template'!C2</f>
        <v>190000</v>
      </c>
      <c r="D4" s="46">
        <f>'Payoff Table Template'!D2</f>
        <v>-120000</v>
      </c>
      <c r="E4" s="47">
        <f>B4*$B$7+C4*$C$7+D4*$D$7</f>
        <v>196000</v>
      </c>
      <c r="F4" s="45">
        <v>6</v>
      </c>
    </row>
    <row r="5" spans="1:6" ht="16">
      <c r="A5" s="45" t="s">
        <v>2</v>
      </c>
      <c r="B5" s="46">
        <f>'Payoff Table Template'!B3</f>
        <v>420000</v>
      </c>
      <c r="C5" s="46">
        <f>'Payoff Table Template'!C3</f>
        <v>320000</v>
      </c>
      <c r="D5" s="46">
        <f>'Payoff Table Template'!D3</f>
        <v>-80000</v>
      </c>
      <c r="E5" s="139">
        <f>B5*$B$7+C5*$C$7+D5*$D$7</f>
        <v>308000</v>
      </c>
      <c r="F5" s="45">
        <v>7</v>
      </c>
    </row>
    <row r="6" spans="1:6" ht="16">
      <c r="A6" s="45" t="s">
        <v>3</v>
      </c>
      <c r="B6" s="46">
        <f>'Payoff Table Template'!B4</f>
        <v>340000</v>
      </c>
      <c r="C6" s="46">
        <f>'Payoff Table Template'!C4</f>
        <v>210000</v>
      </c>
      <c r="D6" s="46">
        <f>'Payoff Table Template'!D4</f>
        <v>-220000</v>
      </c>
      <c r="E6" s="47">
        <f t="shared" ref="E6" si="0">B6*$B$7+C6*$C$7+D6*$D$7</f>
        <v>205200</v>
      </c>
      <c r="F6" s="45">
        <v>8</v>
      </c>
    </row>
    <row r="7" spans="1:6" ht="16">
      <c r="A7" s="45" t="s">
        <v>0</v>
      </c>
      <c r="B7" s="59">
        <f>'Payoff Table Template'!B5</f>
        <v>0.36</v>
      </c>
      <c r="C7" s="59">
        <f>'Payoff Table Template'!C5</f>
        <v>0.52</v>
      </c>
      <c r="D7" s="59">
        <f>'Payoff Table Template'!D5</f>
        <v>0.12</v>
      </c>
      <c r="E7" s="47"/>
      <c r="F7" s="45"/>
    </row>
    <row r="8" spans="1:6" ht="12.75" customHeight="1">
      <c r="A8" s="27"/>
      <c r="B8" s="27"/>
      <c r="C8" s="48"/>
      <c r="D8" s="48"/>
      <c r="E8" s="49"/>
      <c r="F8" s="43"/>
    </row>
    <row r="9" spans="1:6" ht="13.25" customHeight="1">
      <c r="A9" s="27" t="s">
        <v>93</v>
      </c>
      <c r="B9" s="27"/>
      <c r="C9" s="41"/>
      <c r="D9" s="27"/>
      <c r="E9" s="42"/>
      <c r="F9" s="43"/>
    </row>
    <row r="10" spans="1:6" ht="12.75" customHeight="1">
      <c r="A10" s="45" t="s">
        <v>51</v>
      </c>
      <c r="B10" s="50">
        <f>'Payoff Table Template'!B7</f>
        <v>7000</v>
      </c>
      <c r="C10" s="41"/>
      <c r="D10" s="27"/>
      <c r="E10" s="42"/>
      <c r="F10" s="43"/>
    </row>
    <row r="11" spans="1:6">
      <c r="A11" s="27"/>
      <c r="B11" s="27"/>
      <c r="C11" s="41"/>
      <c r="D11" s="27"/>
      <c r="E11" s="27"/>
      <c r="F11" s="43"/>
    </row>
    <row r="12" spans="1:6" ht="12.75" customHeight="1">
      <c r="A12" s="27" t="s">
        <v>20</v>
      </c>
      <c r="B12" s="27"/>
      <c r="C12" s="41"/>
      <c r="D12" s="27"/>
      <c r="E12" s="27"/>
      <c r="F12" s="43"/>
    </row>
    <row r="13" spans="1:6" ht="12.75" customHeight="1">
      <c r="A13" s="134" t="s">
        <v>10</v>
      </c>
      <c r="B13" s="134" t="s">
        <v>11</v>
      </c>
      <c r="C13" s="134"/>
      <c r="D13" s="134"/>
      <c r="E13" s="132" t="s">
        <v>7</v>
      </c>
      <c r="F13" s="132" t="s">
        <v>75</v>
      </c>
    </row>
    <row r="14" spans="1:6" ht="12.75" customHeight="1">
      <c r="A14" s="134"/>
      <c r="B14" s="44" t="s">
        <v>4</v>
      </c>
      <c r="C14" s="44" t="s">
        <v>5</v>
      </c>
      <c r="D14" s="44" t="s">
        <v>6</v>
      </c>
      <c r="E14" s="133"/>
      <c r="F14" s="133"/>
    </row>
    <row r="15" spans="1:6" ht="12.75" customHeight="1">
      <c r="A15" s="45" t="s">
        <v>1</v>
      </c>
      <c r="B15" s="51">
        <f>'Task 2-1 Payoff Table Solution'!B15</f>
        <v>303000</v>
      </c>
      <c r="C15" s="51">
        <f>'Task 2-1 Payoff Table Solution'!C15</f>
        <v>183000</v>
      </c>
      <c r="D15" s="51">
        <f>'Task 2-1 Payoff Table Solution'!D15</f>
        <v>-127000</v>
      </c>
      <c r="E15" s="47">
        <f>B15*$B$18+C15*$C$18+D15*$D$18</f>
        <v>202700</v>
      </c>
      <c r="F15" s="45">
        <v>9</v>
      </c>
    </row>
    <row r="16" spans="1:6" ht="12.75" customHeight="1">
      <c r="A16" s="45" t="s">
        <v>2</v>
      </c>
      <c r="B16" s="51">
        <f>'Task 2-1 Payoff Table Solution'!B16</f>
        <v>413000</v>
      </c>
      <c r="C16" s="51">
        <f>'Task 2-1 Payoff Table Solution'!C16</f>
        <v>313000</v>
      </c>
      <c r="D16" s="51">
        <f>'Task 2-1 Payoff Table Solution'!D16</f>
        <v>-87000</v>
      </c>
      <c r="E16" s="139">
        <f t="shared" ref="E16:E17" si="1">B16*$B$18+C16*$C$18+D16*$D$18</f>
        <v>311000</v>
      </c>
      <c r="F16" s="45">
        <v>10</v>
      </c>
    </row>
    <row r="17" spans="1:6" ht="12.75" customHeight="1">
      <c r="A17" s="45" t="s">
        <v>3</v>
      </c>
      <c r="B17" s="51">
        <f>'Task 2-1 Payoff Table Solution'!B17</f>
        <v>333000</v>
      </c>
      <c r="C17" s="51">
        <f>'Task 2-1 Payoff Table Solution'!C17</f>
        <v>203000</v>
      </c>
      <c r="D17" s="51">
        <f>'Task 2-1 Payoff Table Solution'!D17</f>
        <v>-227000</v>
      </c>
      <c r="E17" s="47">
        <f t="shared" si="1"/>
        <v>212100</v>
      </c>
      <c r="F17" s="45">
        <v>11</v>
      </c>
    </row>
    <row r="18" spans="1:6" ht="12.75" customHeight="1">
      <c r="A18" s="45" t="s">
        <v>0</v>
      </c>
      <c r="B18" s="56">
        <f>'Task 2-1 Payoff Table Solution'!B18</f>
        <v>0.5</v>
      </c>
      <c r="C18" s="56">
        <f>'Task 2-1 Payoff Table Solution'!C18</f>
        <v>0.37</v>
      </c>
      <c r="D18" s="56">
        <f>'Task 2-1 Payoff Table Solution'!D18</f>
        <v>0.13</v>
      </c>
      <c r="E18" s="47"/>
      <c r="F18" s="45"/>
    </row>
    <row r="19" spans="1:6" ht="12" customHeight="1">
      <c r="A19" s="27"/>
      <c r="B19" s="27"/>
      <c r="C19" s="41"/>
      <c r="D19" s="27"/>
      <c r="E19" s="27"/>
      <c r="F19" s="43"/>
    </row>
    <row r="20" spans="1:6" ht="12.75" customHeight="1">
      <c r="A20" s="27" t="s">
        <v>21</v>
      </c>
      <c r="B20" s="27"/>
      <c r="C20" s="41"/>
      <c r="D20" s="27"/>
      <c r="E20" s="27"/>
      <c r="F20" s="43"/>
    </row>
    <row r="21" spans="1:6" ht="12.75" customHeight="1">
      <c r="A21" s="134" t="s">
        <v>10</v>
      </c>
      <c r="B21" s="134" t="s">
        <v>11</v>
      </c>
      <c r="C21" s="134"/>
      <c r="D21" s="134"/>
      <c r="E21" s="132" t="s">
        <v>7</v>
      </c>
      <c r="F21" s="132" t="s">
        <v>75</v>
      </c>
    </row>
    <row r="22" spans="1:6" ht="12.75" customHeight="1">
      <c r="A22" s="134"/>
      <c r="B22" s="44" t="s">
        <v>4</v>
      </c>
      <c r="C22" s="44" t="s">
        <v>5</v>
      </c>
      <c r="D22" s="44" t="s">
        <v>6</v>
      </c>
      <c r="E22" s="133"/>
      <c r="F22" s="133"/>
    </row>
    <row r="23" spans="1:6" ht="12.75" customHeight="1">
      <c r="A23" s="45" t="s">
        <v>1</v>
      </c>
      <c r="B23" s="51">
        <f>'Task 2-1 Payoff Table Solution'!B23</f>
        <v>303000</v>
      </c>
      <c r="C23" s="51">
        <f>'Task 2-1 Payoff Table Solution'!C23</f>
        <v>183000</v>
      </c>
      <c r="D23" s="51">
        <f>'Task 2-1 Payoff Table Solution'!D23</f>
        <v>-127000</v>
      </c>
      <c r="E23" s="47">
        <f>B23*$B$26+C23*$C$26+D23*$D$26</f>
        <v>21900</v>
      </c>
      <c r="F23" s="45">
        <v>12</v>
      </c>
    </row>
    <row r="24" spans="1:6">
      <c r="A24" s="45" t="s">
        <v>2</v>
      </c>
      <c r="B24" s="51">
        <f>'Task 2-1 Payoff Table Solution'!B24</f>
        <v>413000</v>
      </c>
      <c r="C24" s="51">
        <f>'Task 2-1 Payoff Table Solution'!C24</f>
        <v>313000</v>
      </c>
      <c r="D24" s="51">
        <f>'Task 2-1 Payoff Table Solution'!D24</f>
        <v>-87000</v>
      </c>
      <c r="E24" s="139">
        <f>B24*$B$26+C24*$C$26+D24*$D$26</f>
        <v>98000</v>
      </c>
      <c r="F24" s="45">
        <v>13</v>
      </c>
    </row>
    <row r="25" spans="1:6">
      <c r="A25" s="45" t="s">
        <v>3</v>
      </c>
      <c r="B25" s="51">
        <f>'Task 2-1 Payoff Table Solution'!B25</f>
        <v>333000</v>
      </c>
      <c r="C25" s="51">
        <f>'Task 2-1 Payoff Table Solution'!C25</f>
        <v>203000</v>
      </c>
      <c r="D25" s="51">
        <f>'Task 2-1 Payoff Table Solution'!D25</f>
        <v>-227000</v>
      </c>
      <c r="E25" s="47">
        <f>B25*$B$26+C25*$C$26+D25*$D$26</f>
        <v>-25199.999999999985</v>
      </c>
      <c r="F25" s="45">
        <v>14</v>
      </c>
    </row>
    <row r="26" spans="1:6">
      <c r="A26" s="45" t="s">
        <v>0</v>
      </c>
      <c r="B26" s="56">
        <f>'Task 2-1 Payoff Table Solution'!B26</f>
        <v>0.13</v>
      </c>
      <c r="C26" s="56">
        <f>'Task 2-1 Payoff Table Solution'!C26</f>
        <v>0.3</v>
      </c>
      <c r="D26" s="56">
        <f>'Task 2-1 Payoff Table Solution'!D26</f>
        <v>0.56999999999999995</v>
      </c>
      <c r="E26" s="47"/>
      <c r="F26" s="45"/>
    </row>
    <row r="27" spans="1:6">
      <c r="A27" s="27"/>
      <c r="B27" s="27"/>
      <c r="C27" s="41"/>
      <c r="D27" s="27"/>
      <c r="E27" s="27"/>
      <c r="F27" s="43"/>
    </row>
    <row r="28" spans="1:6">
      <c r="A28" s="27" t="s">
        <v>72</v>
      </c>
      <c r="B28" s="27"/>
      <c r="C28" s="41"/>
      <c r="D28" s="27"/>
      <c r="E28" s="27"/>
      <c r="F28" s="43"/>
    </row>
    <row r="29" spans="1:6">
      <c r="A29" s="27" t="s">
        <v>73</v>
      </c>
      <c r="B29" s="27"/>
      <c r="C29" s="41"/>
      <c r="D29" s="27"/>
      <c r="E29" s="27"/>
      <c r="F29" s="43"/>
    </row>
    <row r="30" spans="1:6">
      <c r="A30" s="53" t="s">
        <v>63</v>
      </c>
      <c r="B30" s="52">
        <f>'Payoff Table Template'!B8</f>
        <v>0.54</v>
      </c>
      <c r="C30" s="41"/>
      <c r="D30" s="27"/>
      <c r="E30" s="27"/>
      <c r="F30" s="43"/>
    </row>
    <row r="31" spans="1:6">
      <c r="A31" s="53" t="s">
        <v>64</v>
      </c>
      <c r="B31" s="52">
        <f>'Payoff Table Template'!B9</f>
        <v>0.46</v>
      </c>
      <c r="C31" s="41"/>
      <c r="D31" s="27"/>
      <c r="E31" s="27"/>
      <c r="F31" s="43"/>
    </row>
    <row r="32" spans="1:6">
      <c r="A32" s="30"/>
      <c r="B32" s="28"/>
      <c r="C32" s="43" t="s">
        <v>75</v>
      </c>
      <c r="D32" s="27"/>
      <c r="E32" s="27"/>
      <c r="F32" s="43"/>
    </row>
    <row r="33" spans="1:6">
      <c r="A33" s="53" t="s">
        <v>69</v>
      </c>
      <c r="B33" s="51">
        <f>E16*B30</f>
        <v>167940</v>
      </c>
      <c r="C33" s="52">
        <v>4</v>
      </c>
      <c r="D33" s="27"/>
      <c r="E33" s="27"/>
      <c r="F33" s="43"/>
    </row>
    <row r="34" spans="1:6">
      <c r="A34" s="53" t="s">
        <v>92</v>
      </c>
      <c r="B34" s="51">
        <f>E24*B31</f>
        <v>45080</v>
      </c>
      <c r="C34" s="52">
        <v>5</v>
      </c>
      <c r="D34" s="27"/>
      <c r="E34" s="27"/>
      <c r="F34" s="43"/>
    </row>
    <row r="35" spans="1:6">
      <c r="A35" s="53" t="s">
        <v>70</v>
      </c>
      <c r="B35" s="51">
        <f>B33</f>
        <v>167940</v>
      </c>
      <c r="C35" s="52">
        <v>2</v>
      </c>
      <c r="D35" s="27"/>
      <c r="E35" s="27"/>
      <c r="F35" s="43"/>
    </row>
    <row r="36" spans="1:6">
      <c r="A36" s="30"/>
      <c r="B36" s="27"/>
      <c r="C36" s="41"/>
      <c r="D36" s="27"/>
      <c r="E36" s="27"/>
      <c r="F36" s="43"/>
    </row>
    <row r="37" spans="1:6">
      <c r="A37" s="27" t="s">
        <v>74</v>
      </c>
      <c r="B37" s="27"/>
      <c r="C37" s="41" t="s">
        <v>75</v>
      </c>
      <c r="D37" s="27"/>
      <c r="E37" s="27"/>
      <c r="F37" s="43"/>
    </row>
    <row r="38" spans="1:6">
      <c r="A38" s="53" t="s">
        <v>70</v>
      </c>
      <c r="B38" s="54">
        <f>B35</f>
        <v>167940</v>
      </c>
      <c r="C38" s="52">
        <v>2</v>
      </c>
      <c r="D38" s="27"/>
      <c r="E38" s="27"/>
      <c r="F38" s="43"/>
    </row>
    <row r="39" spans="1:6">
      <c r="A39" s="53" t="s">
        <v>145</v>
      </c>
      <c r="B39" s="54">
        <f>E5</f>
        <v>308000</v>
      </c>
      <c r="C39" s="52">
        <v>3</v>
      </c>
      <c r="D39" s="27"/>
      <c r="E39" s="27"/>
      <c r="F39" s="43"/>
    </row>
    <row r="40" spans="1:6">
      <c r="A40" s="55" t="s">
        <v>71</v>
      </c>
      <c r="B40" s="54">
        <f>B39</f>
        <v>308000</v>
      </c>
      <c r="C40" s="52">
        <v>1</v>
      </c>
      <c r="D40" s="27"/>
      <c r="E40" s="27"/>
      <c r="F40" s="43"/>
    </row>
    <row r="41" spans="1:6">
      <c r="A41" s="27"/>
      <c r="B41" s="27"/>
      <c r="C41" s="41"/>
      <c r="D41" s="27"/>
      <c r="E41" s="27"/>
      <c r="F41" s="43"/>
    </row>
  </sheetData>
  <mergeCells count="12">
    <mergeCell ref="F2:F3"/>
    <mergeCell ref="F13:F14"/>
    <mergeCell ref="F21:F22"/>
    <mergeCell ref="A21:A22"/>
    <mergeCell ref="B21:D21"/>
    <mergeCell ref="E21:E22"/>
    <mergeCell ref="A2:A3"/>
    <mergeCell ref="B2:D2"/>
    <mergeCell ref="E2:E3"/>
    <mergeCell ref="E13:E14"/>
    <mergeCell ref="A13:A14"/>
    <mergeCell ref="B13:D13"/>
  </mergeCells>
  <phoneticPr fontId="10" type="noConversion"/>
  <pageMargins left="0.45" right="0.45" top="0.5" bottom="0.5" header="0.3" footer="0.3"/>
  <pageSetup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topLeftCell="A16" zoomScale="108" zoomScaleNormal="100" workbookViewId="0">
      <selection activeCell="B17" sqref="B17"/>
    </sheetView>
  </sheetViews>
  <sheetFormatPr baseColWidth="10" defaultColWidth="11.1640625" defaultRowHeight="16"/>
  <cols>
    <col min="1" max="1" width="11.1640625" style="29"/>
    <col min="2" max="2" width="35.5" bestFit="1" customWidth="1"/>
    <col min="3" max="3" width="18.83203125" bestFit="1" customWidth="1"/>
    <col min="4" max="4" width="16.5" bestFit="1" customWidth="1"/>
    <col min="5" max="5" width="13.6640625" bestFit="1" customWidth="1"/>
  </cols>
  <sheetData>
    <row r="1" spans="2:5">
      <c r="D1" t="s">
        <v>136</v>
      </c>
    </row>
    <row r="2" spans="2:5">
      <c r="B2" s="135" t="s">
        <v>123</v>
      </c>
      <c r="C2" s="135" t="s">
        <v>124</v>
      </c>
      <c r="D2" s="135"/>
    </row>
    <row r="3" spans="2:5">
      <c r="B3" s="135"/>
      <c r="C3" s="60" t="s">
        <v>119</v>
      </c>
      <c r="D3" s="60" t="s">
        <v>120</v>
      </c>
    </row>
    <row r="4" spans="2:5">
      <c r="B4" s="60" t="s">
        <v>125</v>
      </c>
      <c r="C4" s="61">
        <f>'Task 2-2 Solution'!B39</f>
        <v>308000</v>
      </c>
      <c r="D4" s="73">
        <f>C4</f>
        <v>308000</v>
      </c>
    </row>
    <row r="5" spans="2:5">
      <c r="B5" s="60" t="s">
        <v>126</v>
      </c>
      <c r="C5" s="61">
        <f>'Task 2-2 Solution'!E16</f>
        <v>311000</v>
      </c>
      <c r="D5" s="61">
        <f>'Task 2-2 Solution'!E24</f>
        <v>98000</v>
      </c>
      <c r="E5" s="71"/>
    </row>
    <row r="6" spans="2:5">
      <c r="B6" s="136" t="s">
        <v>127</v>
      </c>
      <c r="C6" s="137" t="s">
        <v>128</v>
      </c>
      <c r="D6" s="137" t="s">
        <v>129</v>
      </c>
      <c r="E6" s="71"/>
    </row>
    <row r="7" spans="2:5">
      <c r="B7" s="136"/>
      <c r="C7" s="138"/>
      <c r="D7" s="138"/>
    </row>
    <row r="8" spans="2:5">
      <c r="B8" s="67"/>
      <c r="C8" s="69" t="s">
        <v>134</v>
      </c>
      <c r="D8" s="68">
        <v>308000</v>
      </c>
    </row>
    <row r="9" spans="2:5">
      <c r="B9" s="67"/>
      <c r="C9" s="69" t="s">
        <v>135</v>
      </c>
      <c r="D9" s="70" t="s">
        <v>138</v>
      </c>
    </row>
    <row r="10" spans="2:5">
      <c r="B10" s="29"/>
    </row>
    <row r="11" spans="2:5">
      <c r="B11" s="62" t="s">
        <v>128</v>
      </c>
      <c r="C11" s="60" t="s">
        <v>142</v>
      </c>
      <c r="D11" s="60" t="s">
        <v>130</v>
      </c>
    </row>
    <row r="12" spans="2:5">
      <c r="B12" s="62">
        <v>0</v>
      </c>
      <c r="C12" s="72">
        <f>C13</f>
        <v>308000</v>
      </c>
      <c r="D12" s="63">
        <f>D5</f>
        <v>98000</v>
      </c>
    </row>
    <row r="13" spans="2:5">
      <c r="B13" s="62">
        <v>1</v>
      </c>
      <c r="C13" s="63">
        <f>C4</f>
        <v>308000</v>
      </c>
      <c r="D13" s="63">
        <f>C5</f>
        <v>311000</v>
      </c>
    </row>
    <row r="14" spans="2:5">
      <c r="B14" s="29"/>
    </row>
    <row r="15" spans="2:5">
      <c r="B15" s="64" t="s">
        <v>131</v>
      </c>
    </row>
    <row r="16" spans="2:5">
      <c r="B16" s="74">
        <f>D4-D5</f>
        <v>210000</v>
      </c>
    </row>
    <row r="17" spans="2:2">
      <c r="B17" s="75">
        <f>B16/213000</f>
        <v>0.9859154929577465</v>
      </c>
    </row>
    <row r="18" spans="2:2">
      <c r="B18" s="62" t="s">
        <v>143</v>
      </c>
    </row>
    <row r="19" spans="2:2">
      <c r="B19" s="65"/>
    </row>
    <row r="20" spans="2:2">
      <c r="B20" s="29"/>
    </row>
    <row r="21" spans="2:2">
      <c r="B21" s="66"/>
    </row>
    <row r="22" spans="2:2">
      <c r="B22" s="65" t="s">
        <v>132</v>
      </c>
    </row>
    <row r="23" spans="2:2">
      <c r="B23" s="65" t="s">
        <v>140</v>
      </c>
    </row>
    <row r="24" spans="2:2">
      <c r="B24" s="60" t="s">
        <v>141</v>
      </c>
    </row>
    <row r="25" spans="2:2">
      <c r="B25" s="29"/>
    </row>
    <row r="26" spans="2:2">
      <c r="B26" s="65" t="s">
        <v>133</v>
      </c>
    </row>
    <row r="27" spans="2:2">
      <c r="B27" s="65" t="s">
        <v>137</v>
      </c>
    </row>
    <row r="28" spans="2:2">
      <c r="B28" s="65" t="s">
        <v>139</v>
      </c>
    </row>
  </sheetData>
  <mergeCells count="5">
    <mergeCell ref="B2:B3"/>
    <mergeCell ref="C2:D2"/>
    <mergeCell ref="B6:B7"/>
    <mergeCell ref="C6:C7"/>
    <mergeCell ref="D6:D7"/>
  </mergeCells>
  <phoneticPr fontId="10" type="noConversion"/>
  <pageMargins left="0.45" right="0.45" top="0.5" bottom="0.5" header="0.3" footer="0.3"/>
  <pageSetup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V1041"/>
  <sheetViews>
    <sheetView topLeftCell="A34" zoomScale="75" zoomScaleNormal="100" workbookViewId="0">
      <selection activeCell="J92" sqref="J92"/>
    </sheetView>
  </sheetViews>
  <sheetFormatPr baseColWidth="10" defaultColWidth="8.83203125" defaultRowHeight="16"/>
  <cols>
    <col min="2" max="2" width="2.1640625" customWidth="1"/>
    <col min="4" max="4" width="2.1640625" customWidth="1"/>
    <col min="5" max="5" width="3.6640625" customWidth="1"/>
    <col min="8" max="8" width="2.1640625" customWidth="1"/>
    <col min="9" max="9" width="3.6640625" customWidth="1"/>
    <col min="12" max="12" width="2.1640625" customWidth="1"/>
    <col min="13" max="13" width="3.6640625" customWidth="1"/>
    <col min="16" max="16" width="2.1640625" customWidth="1"/>
    <col min="17" max="17" width="3.6640625" customWidth="1"/>
    <col min="20" max="20" width="2.1640625" customWidth="1"/>
  </cols>
  <sheetData>
    <row r="1" spans="1:21">
      <c r="A1" s="32"/>
    </row>
    <row r="5" spans="1:21">
      <c r="N5" s="29">
        <f>'Task 2-1 Payoff Table Solution'!$B$7</f>
        <v>0.36</v>
      </c>
    </row>
    <row r="6" spans="1:21">
      <c r="N6" t="str">
        <f>'Task 2-1 Payoff Table Solution'!$B$3</f>
        <v>Optimistic Conditions</v>
      </c>
    </row>
    <row r="7" spans="1:21">
      <c r="U7">
        <f>'Task 2-2 Solution'!B4</f>
        <v>310000</v>
      </c>
    </row>
    <row r="8" spans="1:21">
      <c r="N8" s="29"/>
      <c r="O8">
        <f>U7</f>
        <v>310000</v>
      </c>
    </row>
    <row r="10" spans="1:21">
      <c r="N10" s="29">
        <f>'Task 2-1 Payoff Table Solution'!$C$7</f>
        <v>0.52</v>
      </c>
    </row>
    <row r="11" spans="1:21">
      <c r="J11" t="str">
        <f>'Task 2-1 Payoff Table Solution'!$A$4</f>
        <v>Apartment Building</v>
      </c>
      <c r="N11" t="str">
        <f>'Task 2-1 Payoff Table Solution'!$C$3</f>
        <v>Realistic Conditions</v>
      </c>
    </row>
    <row r="12" spans="1:21">
      <c r="U12">
        <f>'Task 2-2 Solution'!C4</f>
        <v>190000</v>
      </c>
    </row>
    <row r="13" spans="1:21">
      <c r="J13" s="29"/>
      <c r="K13">
        <f>IF(ABS(1-(N5+N10+N15))&lt;=0.00001,N5*O8+N10*O13+N15*O18,NA())</f>
        <v>196000</v>
      </c>
      <c r="N13" s="29"/>
      <c r="O13">
        <f>U12</f>
        <v>190000</v>
      </c>
    </row>
    <row r="15" spans="1:21">
      <c r="N15" s="29">
        <f>'Task 2-1 Payoff Table Solution'!$D$7</f>
        <v>0.12</v>
      </c>
    </row>
    <row r="16" spans="1:21">
      <c r="N16" t="str">
        <f>'Task 2-1 Payoff Table Solution'!$D$3</f>
        <v>Pessimistic Conditions</v>
      </c>
    </row>
    <row r="17" spans="6:21">
      <c r="U17">
        <f>'Task 2-2 Solution'!D4</f>
        <v>-120000</v>
      </c>
    </row>
    <row r="18" spans="6:21">
      <c r="N18" s="29"/>
      <c r="O18">
        <f>U17</f>
        <v>-120000</v>
      </c>
    </row>
    <row r="20" spans="6:21">
      <c r="N20" s="29">
        <f>'Task 2-1 Payoff Table Solution'!$B$7</f>
        <v>0.36</v>
      </c>
    </row>
    <row r="21" spans="6:21">
      <c r="N21" t="str">
        <f>'Task 2-1 Payoff Table Solution'!$B$3</f>
        <v>Optimistic Conditions</v>
      </c>
    </row>
    <row r="22" spans="6:21">
      <c r="U22">
        <f>'Task 2-2 Solution'!B5</f>
        <v>420000</v>
      </c>
    </row>
    <row r="23" spans="6:21">
      <c r="N23" s="29"/>
      <c r="O23">
        <f>U22</f>
        <v>420000</v>
      </c>
    </row>
    <row r="25" spans="6:21">
      <c r="N25" s="29">
        <f>'Task 2-1 Payoff Table Solution'!$C$7</f>
        <v>0.52</v>
      </c>
    </row>
    <row r="26" spans="6:21">
      <c r="F26" t="s">
        <v>117</v>
      </c>
      <c r="J26" t="str">
        <f>'Task 2-1 Payoff Table Solution'!$A$5</f>
        <v>Office Building</v>
      </c>
      <c r="N26" t="str">
        <f>'Task 2-1 Payoff Table Solution'!$C$3</f>
        <v>Realistic Conditions</v>
      </c>
    </row>
    <row r="27" spans="6:21">
      <c r="H27">
        <f>IF(G28=K13,1,IF(G28=K28,2,IF(G28=K43,3)))</f>
        <v>2</v>
      </c>
      <c r="U27">
        <f>'Task 2-2 Solution'!C5</f>
        <v>320000</v>
      </c>
    </row>
    <row r="28" spans="6:21">
      <c r="F28" s="29"/>
      <c r="G28">
        <f>MAX(K13,K28,K43)</f>
        <v>308000</v>
      </c>
      <c r="J28" s="29"/>
      <c r="K28">
        <f>IF(ABS(1-(N20+N25+N30))&lt;=0.00001,N20*O23+N25*O28+N30*O33,NA())</f>
        <v>308000</v>
      </c>
      <c r="N28" s="29"/>
      <c r="O28">
        <f>U27</f>
        <v>320000</v>
      </c>
    </row>
    <row r="30" spans="6:21">
      <c r="N30" s="29">
        <f>'Task 2-1 Payoff Table Solution'!$D$7</f>
        <v>0.12</v>
      </c>
    </row>
    <row r="31" spans="6:21">
      <c r="N31" t="str">
        <f>'Task 2-1 Payoff Table Solution'!$D$3</f>
        <v>Pessimistic Conditions</v>
      </c>
    </row>
    <row r="32" spans="6:21">
      <c r="U32">
        <f>'Task 2-2 Solution'!D5</f>
        <v>-80000</v>
      </c>
    </row>
    <row r="33" spans="10:21">
      <c r="N33" s="29"/>
      <c r="O33">
        <f>U32</f>
        <v>-80000</v>
      </c>
    </row>
    <row r="35" spans="10:21">
      <c r="N35" s="29">
        <f>'Task 2-1 Payoff Table Solution'!$B$7</f>
        <v>0.36</v>
      </c>
    </row>
    <row r="36" spans="10:21">
      <c r="N36" t="str">
        <f>'Task 2-1 Payoff Table Solution'!$B$3</f>
        <v>Optimistic Conditions</v>
      </c>
    </row>
    <row r="37" spans="10:21">
      <c r="U37">
        <f>'Task 2-2 Solution'!B6</f>
        <v>340000</v>
      </c>
    </row>
    <row r="38" spans="10:21">
      <c r="N38" s="29"/>
      <c r="O38">
        <f>U37</f>
        <v>340000</v>
      </c>
    </row>
    <row r="40" spans="10:21">
      <c r="N40" s="29">
        <f>'Task 2-1 Payoff Table Solution'!$C$7</f>
        <v>0.52</v>
      </c>
    </row>
    <row r="41" spans="10:21">
      <c r="J41" t="str">
        <f>'Task 2-1 Payoff Table Solution'!$A$6</f>
        <v>Warehouse</v>
      </c>
      <c r="N41" t="str">
        <f>'Task 2-1 Payoff Table Solution'!$C$3</f>
        <v>Realistic Conditions</v>
      </c>
    </row>
    <row r="42" spans="10:21">
      <c r="U42">
        <f>'Task 2-2 Solution'!C6</f>
        <v>210000</v>
      </c>
    </row>
    <row r="43" spans="10:21">
      <c r="J43" s="29"/>
      <c r="K43">
        <f>IF(ABS(1-(N35+N40+N45))&lt;=0.00001,N35*O38+N40*O43+N45*O48,NA())</f>
        <v>205200</v>
      </c>
      <c r="N43" s="29"/>
      <c r="O43">
        <f>U42</f>
        <v>210000</v>
      </c>
    </row>
    <row r="45" spans="10:21">
      <c r="N45" s="29">
        <f>'Task 2-1 Payoff Table Solution'!$D$7</f>
        <v>0.12</v>
      </c>
    </row>
    <row r="46" spans="10:21">
      <c r="N46" t="str">
        <f>'Task 2-1 Payoff Table Solution'!$D$3</f>
        <v>Pessimistic Conditions</v>
      </c>
    </row>
    <row r="47" spans="10:21">
      <c r="U47">
        <f>'Task 2-2 Solution'!D6</f>
        <v>-220000</v>
      </c>
    </row>
    <row r="48" spans="10:21">
      <c r="N48" s="29"/>
      <c r="O48">
        <f>U47</f>
        <v>-220000</v>
      </c>
    </row>
    <row r="50" spans="3:21">
      <c r="R50" s="29">
        <f>'Task 2-2 Solution'!B18</f>
        <v>0.5</v>
      </c>
    </row>
    <row r="51" spans="3:21">
      <c r="R51" t="str">
        <f>'Task 2-1 Payoff Table Solution'!$B$3</f>
        <v>Optimistic Conditions</v>
      </c>
    </row>
    <row r="52" spans="3:21">
      <c r="U52">
        <f>'Task 2-2 Solution'!B15</f>
        <v>303000</v>
      </c>
    </row>
    <row r="53" spans="3:21">
      <c r="R53" s="29"/>
      <c r="S53">
        <f>U52</f>
        <v>303000</v>
      </c>
    </row>
    <row r="55" spans="3:21">
      <c r="R55" s="29">
        <f>'Task 2-2 Solution'!C18</f>
        <v>0.37</v>
      </c>
    </row>
    <row r="56" spans="3:21">
      <c r="N56" t="str">
        <f>'Task 2-1 Payoff Table Solution'!$A$4</f>
        <v>Apartment Building</v>
      </c>
      <c r="R56" t="str">
        <f>'Task 2-1 Payoff Table Solution'!$C$3</f>
        <v>Realistic Conditions</v>
      </c>
    </row>
    <row r="57" spans="3:21">
      <c r="U57">
        <f>'Task 2-2 Solution'!C15</f>
        <v>183000</v>
      </c>
    </row>
    <row r="58" spans="3:21">
      <c r="N58" s="29"/>
      <c r="O58">
        <f>IF(ABS(1-(R50+R55+R60))&lt;=0.00001,R50*S53+R55*S58+R60*S63,NA())</f>
        <v>202700</v>
      </c>
      <c r="R58" s="29"/>
      <c r="S58">
        <f>U57</f>
        <v>183000</v>
      </c>
    </row>
    <row r="59" spans="3:21">
      <c r="C59" s="57"/>
    </row>
    <row r="60" spans="3:21">
      <c r="D60">
        <f>IF(C61=G28,1,IF(C61=G95,2))</f>
        <v>1</v>
      </c>
      <c r="R60" s="29">
        <f>'Task 2-2 Solution'!D18</f>
        <v>0.13</v>
      </c>
    </row>
    <row r="61" spans="3:21">
      <c r="C61">
        <f>MAX(G28,G95)</f>
        <v>308000</v>
      </c>
      <c r="R61" t="str">
        <f>'Task 2-1 Payoff Table Solution'!$D$3</f>
        <v>Pessimistic Conditions</v>
      </c>
    </row>
    <row r="62" spans="3:21">
      <c r="U62">
        <f>'Task 2-2 Solution'!D15</f>
        <v>-127000</v>
      </c>
    </row>
    <row r="63" spans="3:21">
      <c r="R63" s="29"/>
      <c r="S63">
        <f>U62</f>
        <v>-127000</v>
      </c>
    </row>
    <row r="65" spans="10:21">
      <c r="R65" s="29">
        <f>R50</f>
        <v>0.5</v>
      </c>
    </row>
    <row r="66" spans="10:21">
      <c r="R66" t="str">
        <f>'Task 2-1 Payoff Table Solution'!$B$3</f>
        <v>Optimistic Conditions</v>
      </c>
    </row>
    <row r="67" spans="10:21">
      <c r="U67">
        <f>'Task 2-2 Solution'!B16</f>
        <v>413000</v>
      </c>
    </row>
    <row r="68" spans="10:21">
      <c r="R68" s="29"/>
      <c r="S68">
        <f>U67</f>
        <v>413000</v>
      </c>
    </row>
    <row r="70" spans="10:21">
      <c r="J70" s="29">
        <f>'Task 2-2 Solution'!B30</f>
        <v>0.54</v>
      </c>
      <c r="R70" s="29">
        <f>R55</f>
        <v>0.37</v>
      </c>
    </row>
    <row r="71" spans="10:21">
      <c r="J71" t="s">
        <v>119</v>
      </c>
      <c r="N71" t="str">
        <f>'Task 2-1 Payoff Table Solution'!$A$5</f>
        <v>Office Building</v>
      </c>
      <c r="R71" t="str">
        <f>'Task 2-1 Payoff Table Solution'!$C$3</f>
        <v>Realistic Conditions</v>
      </c>
    </row>
    <row r="72" spans="10:21">
      <c r="L72">
        <f>IF(K73=O58,1,IF(K73=O73,2,IF(K73=O88,3)))</f>
        <v>2</v>
      </c>
      <c r="U72">
        <f>'Task 2-2 Solution'!C16</f>
        <v>313000</v>
      </c>
    </row>
    <row r="73" spans="10:21">
      <c r="J73" s="29"/>
      <c r="K73">
        <f>MAX(O58,O73,O88)</f>
        <v>311000</v>
      </c>
      <c r="N73" s="29"/>
      <c r="O73">
        <f>IF(ABS(1-(R65+R70+R75))&lt;=0.00001,R65*S68+R70*S73+R75*S78,NA())</f>
        <v>311000</v>
      </c>
      <c r="R73" s="29"/>
      <c r="S73">
        <f>U72</f>
        <v>313000</v>
      </c>
    </row>
    <row r="75" spans="10:21">
      <c r="R75" s="29">
        <f>R60</f>
        <v>0.13</v>
      </c>
    </row>
    <row r="76" spans="10:21">
      <c r="R76" t="str">
        <f>'Task 2-1 Payoff Table Solution'!$D$3</f>
        <v>Pessimistic Conditions</v>
      </c>
    </row>
    <row r="77" spans="10:21">
      <c r="U77">
        <f>'Task 2-2 Solution'!D16</f>
        <v>-87000</v>
      </c>
    </row>
    <row r="78" spans="10:21">
      <c r="R78" s="29"/>
      <c r="S78">
        <f>U77</f>
        <v>-87000</v>
      </c>
    </row>
    <row r="80" spans="10:21">
      <c r="R80" s="29">
        <f>R65</f>
        <v>0.5</v>
      </c>
    </row>
    <row r="81" spans="6:21">
      <c r="R81" t="str">
        <f>'Task 2-1 Payoff Table Solution'!$B$3</f>
        <v>Optimistic Conditions</v>
      </c>
    </row>
    <row r="82" spans="6:21">
      <c r="U82">
        <f>'Task 2-2 Solution'!B17</f>
        <v>333000</v>
      </c>
    </row>
    <row r="83" spans="6:21">
      <c r="R83" s="29"/>
      <c r="S83">
        <f>U82</f>
        <v>333000</v>
      </c>
    </row>
    <row r="85" spans="6:21">
      <c r="R85" s="29">
        <f>R70</f>
        <v>0.37</v>
      </c>
    </row>
    <row r="86" spans="6:21">
      <c r="N86" t="str">
        <f>'Task 2-1 Payoff Table Solution'!$A$6</f>
        <v>Warehouse</v>
      </c>
      <c r="R86" t="str">
        <f>'Task 2-1 Payoff Table Solution'!$C$3</f>
        <v>Realistic Conditions</v>
      </c>
    </row>
    <row r="87" spans="6:21">
      <c r="U87">
        <f>'Task 2-2 Solution'!C17</f>
        <v>203000</v>
      </c>
    </row>
    <row r="88" spans="6:21">
      <c r="N88" s="29"/>
      <c r="O88">
        <f>IF(ABS(1-(R80+R85+R90))&lt;=0.00001,R80*S83+R85*S88+R90*S93,NA())</f>
        <v>212100</v>
      </c>
      <c r="R88" s="29"/>
      <c r="S88">
        <f>U87</f>
        <v>203000</v>
      </c>
    </row>
    <row r="90" spans="6:21">
      <c r="R90" s="29">
        <f>R75</f>
        <v>0.13</v>
      </c>
    </row>
    <row r="91" spans="6:21">
      <c r="R91" t="str">
        <f>'Task 2-1 Payoff Table Solution'!$D$3</f>
        <v>Pessimistic Conditions</v>
      </c>
    </row>
    <row r="92" spans="6:21">
      <c r="U92">
        <f>'Task 2-2 Solution'!D17</f>
        <v>-227000</v>
      </c>
    </row>
    <row r="93" spans="6:21">
      <c r="F93" t="s">
        <v>118</v>
      </c>
      <c r="R93" s="29"/>
      <c r="S93">
        <f>U92</f>
        <v>-227000</v>
      </c>
    </row>
    <row r="95" spans="6:21">
      <c r="F95" s="29"/>
      <c r="G95">
        <f>IF(ABS(1-(J70+J115))&lt;=0.00001,J70*K73+J115*K118,NA())</f>
        <v>213020</v>
      </c>
      <c r="R95" s="29">
        <f>'Task 2-2 Solution'!B26</f>
        <v>0.13</v>
      </c>
    </row>
    <row r="96" spans="6:21">
      <c r="R96" t="str">
        <f>'Task 2-1 Payoff Table Solution'!$B$3</f>
        <v>Optimistic Conditions</v>
      </c>
    </row>
    <row r="97" spans="14:21">
      <c r="U97">
        <f>'Task 2-2 Solution'!B23</f>
        <v>303000</v>
      </c>
    </row>
    <row r="98" spans="14:21">
      <c r="R98" s="29"/>
      <c r="S98">
        <f>U97</f>
        <v>303000</v>
      </c>
    </row>
    <row r="100" spans="14:21">
      <c r="R100" s="29">
        <f>'Task 2-2 Solution'!C26</f>
        <v>0.3</v>
      </c>
    </row>
    <row r="101" spans="14:21">
      <c r="N101" t="str">
        <f>'Task 2-1 Payoff Table Solution'!$A$4</f>
        <v>Apartment Building</v>
      </c>
      <c r="R101" t="str">
        <f>'Task 2-1 Payoff Table Solution'!$C$3</f>
        <v>Realistic Conditions</v>
      </c>
    </row>
    <row r="102" spans="14:21">
      <c r="U102">
        <f>'Task 2-2 Solution'!C23</f>
        <v>183000</v>
      </c>
    </row>
    <row r="103" spans="14:21">
      <c r="N103" s="29"/>
      <c r="O103">
        <f>IF(ABS(1-(R95+R100+R105))&lt;=0.00001,R95*S98+R100*S103+R105*S108,NA())</f>
        <v>21900</v>
      </c>
      <c r="R103" s="29"/>
      <c r="S103">
        <f>U102</f>
        <v>183000</v>
      </c>
    </row>
    <row r="105" spans="14:21">
      <c r="R105" s="29">
        <f>'Task 2-2 Solution'!D26</f>
        <v>0.56999999999999995</v>
      </c>
    </row>
    <row r="106" spans="14:21">
      <c r="R106" t="str">
        <f>'Task 2-1 Payoff Table Solution'!$D$3</f>
        <v>Pessimistic Conditions</v>
      </c>
    </row>
    <row r="107" spans="14:21">
      <c r="U107">
        <f>'Task 2-2 Solution'!D23</f>
        <v>-127000</v>
      </c>
    </row>
    <row r="108" spans="14:21">
      <c r="R108" s="29"/>
      <c r="S108">
        <f>U107</f>
        <v>-127000</v>
      </c>
    </row>
    <row r="110" spans="14:21">
      <c r="R110" s="29">
        <f>R95</f>
        <v>0.13</v>
      </c>
    </row>
    <row r="111" spans="14:21">
      <c r="R111" t="str">
        <f>'Task 2-1 Payoff Table Solution'!$B$3</f>
        <v>Optimistic Conditions</v>
      </c>
    </row>
    <row r="112" spans="14:21">
      <c r="U112">
        <f>'Task 2-2 Solution'!B24</f>
        <v>413000</v>
      </c>
    </row>
    <row r="113" spans="10:21">
      <c r="R113" s="29"/>
      <c r="S113">
        <f>U112</f>
        <v>413000</v>
      </c>
    </row>
    <row r="115" spans="10:21">
      <c r="J115" s="29">
        <f>'Task 2-2 Solution'!B31</f>
        <v>0.46</v>
      </c>
      <c r="R115" s="29">
        <f>R100</f>
        <v>0.3</v>
      </c>
    </row>
    <row r="116" spans="10:21">
      <c r="J116" t="s">
        <v>120</v>
      </c>
      <c r="N116" t="str">
        <f>'Task 2-1 Payoff Table Solution'!$A$5</f>
        <v>Office Building</v>
      </c>
      <c r="R116" t="str">
        <f>'Task 2-1 Payoff Table Solution'!$C$3</f>
        <v>Realistic Conditions</v>
      </c>
    </row>
    <row r="117" spans="10:21">
      <c r="L117">
        <f>IF(K118=O103,1,IF(K118=O118,2,IF(K118=O133,3)))</f>
        <v>2</v>
      </c>
      <c r="U117">
        <f>'Task 2-2 Solution'!C24</f>
        <v>313000</v>
      </c>
    </row>
    <row r="118" spans="10:21">
      <c r="J118" s="29"/>
      <c r="K118">
        <f>MAX(O103,O118,O133)</f>
        <v>98000</v>
      </c>
      <c r="N118" s="29"/>
      <c r="O118">
        <f>IF(ABS(1-(R110+R115+R120))&lt;=0.00001,R110*S113+R115*S118+R120*S123,NA())</f>
        <v>98000</v>
      </c>
      <c r="R118" s="29"/>
      <c r="S118">
        <f>U117</f>
        <v>313000</v>
      </c>
    </row>
    <row r="120" spans="10:21">
      <c r="R120" s="29">
        <f>R105</f>
        <v>0.56999999999999995</v>
      </c>
    </row>
    <row r="121" spans="10:21">
      <c r="R121" t="str">
        <f>'Task 2-1 Payoff Table Solution'!$D$3</f>
        <v>Pessimistic Conditions</v>
      </c>
    </row>
    <row r="122" spans="10:21">
      <c r="U122">
        <f>'Task 2-2 Solution'!D24</f>
        <v>-87000</v>
      </c>
    </row>
    <row r="123" spans="10:21">
      <c r="R123" s="29"/>
      <c r="S123">
        <f>U122</f>
        <v>-87000</v>
      </c>
    </row>
    <row r="125" spans="10:21">
      <c r="R125" s="29">
        <f>R110</f>
        <v>0.13</v>
      </c>
    </row>
    <row r="126" spans="10:21">
      <c r="R126" t="str">
        <f>'Task 2-1 Payoff Table Solution'!$B$3</f>
        <v>Optimistic Conditions</v>
      </c>
    </row>
    <row r="127" spans="10:21">
      <c r="U127">
        <f>'Task 2-2 Solution'!B25</f>
        <v>333000</v>
      </c>
    </row>
    <row r="128" spans="10:21">
      <c r="R128" s="29"/>
      <c r="S128">
        <f>U127</f>
        <v>333000</v>
      </c>
    </row>
    <row r="130" spans="14:21">
      <c r="R130" s="29">
        <f>R115</f>
        <v>0.3</v>
      </c>
    </row>
    <row r="131" spans="14:21">
      <c r="N131" t="str">
        <f>'Task 2-1 Payoff Table Solution'!$A$6</f>
        <v>Warehouse</v>
      </c>
      <c r="R131" t="str">
        <f>'Task 2-1 Payoff Table Solution'!$C$3</f>
        <v>Realistic Conditions</v>
      </c>
    </row>
    <row r="132" spans="14:21">
      <c r="U132">
        <f>'Task 2-2 Solution'!C25</f>
        <v>203000</v>
      </c>
    </row>
    <row r="133" spans="14:21">
      <c r="N133" s="29"/>
      <c r="O133">
        <f>IF(ABS(1-(R125+R130+R135))&lt;=0.00001,R125*S128+R130*S133+R135*S138,NA())</f>
        <v>-25199.999999999985</v>
      </c>
      <c r="R133" s="29"/>
      <c r="S133">
        <f>U132</f>
        <v>203000</v>
      </c>
    </row>
    <row r="135" spans="14:21">
      <c r="R135" s="29">
        <f>R120</f>
        <v>0.56999999999999995</v>
      </c>
    </row>
    <row r="136" spans="14:21">
      <c r="R136" t="str">
        <f>'Task 2-1 Payoff Table Solution'!$D$3</f>
        <v>Pessimistic Conditions</v>
      </c>
    </row>
    <row r="137" spans="14:21">
      <c r="U137">
        <f>'Task 2-2 Solution'!D25</f>
        <v>-227000</v>
      </c>
    </row>
    <row r="138" spans="14:21">
      <c r="R138" s="29"/>
      <c r="S138">
        <f>U137</f>
        <v>-227000</v>
      </c>
    </row>
    <row r="1000" spans="189:204">
      <c r="GH1000" t="s">
        <v>100</v>
      </c>
      <c r="GI1000" t="s">
        <v>101</v>
      </c>
      <c r="GJ1000" t="s">
        <v>102</v>
      </c>
      <c r="GK1000" t="s">
        <v>103</v>
      </c>
      <c r="GL1000" t="s">
        <v>104</v>
      </c>
      <c r="GM1000" t="s">
        <v>105</v>
      </c>
      <c r="GN1000" t="s">
        <v>106</v>
      </c>
      <c r="GO1000" t="s">
        <v>107</v>
      </c>
      <c r="GP1000" t="s">
        <v>108</v>
      </c>
      <c r="GQ1000" t="s">
        <v>109</v>
      </c>
      <c r="GR1000" t="s">
        <v>110</v>
      </c>
      <c r="GS1000" t="s">
        <v>111</v>
      </c>
      <c r="GT1000" t="s">
        <v>112</v>
      </c>
      <c r="GU1000" t="s">
        <v>113</v>
      </c>
      <c r="GV1000" t="s">
        <v>114</v>
      </c>
    </row>
    <row r="1001" spans="189:204">
      <c r="GG1001">
        <v>0</v>
      </c>
      <c r="GH1001">
        <v>0</v>
      </c>
      <c r="GI1001" t="s">
        <v>115</v>
      </c>
      <c r="GJ1001">
        <v>0</v>
      </c>
      <c r="GK1001">
        <v>0</v>
      </c>
      <c r="GL1001">
        <v>0</v>
      </c>
      <c r="GM1001" t="s">
        <v>8</v>
      </c>
      <c r="GN1001">
        <v>2</v>
      </c>
      <c r="GO1001">
        <v>1</v>
      </c>
      <c r="GP1001">
        <v>2</v>
      </c>
      <c r="GQ1001">
        <v>0</v>
      </c>
      <c r="GR1001">
        <v>0</v>
      </c>
      <c r="GS1001">
        <v>0</v>
      </c>
      <c r="GT1001">
        <v>55</v>
      </c>
      <c r="GU1001">
        <v>1</v>
      </c>
      <c r="GV1001" t="b">
        <v>1</v>
      </c>
    </row>
    <row r="1002" spans="189:204">
      <c r="GG1002">
        <v>0</v>
      </c>
      <c r="GH1002">
        <v>1</v>
      </c>
      <c r="GK1002">
        <v>0</v>
      </c>
      <c r="GL1002">
        <v>0</v>
      </c>
      <c r="GM1002" t="s">
        <v>8</v>
      </c>
      <c r="GN1002">
        <v>3</v>
      </c>
      <c r="GO1002">
        <v>3</v>
      </c>
      <c r="GP1002">
        <v>5</v>
      </c>
      <c r="GQ1002">
        <v>8</v>
      </c>
      <c r="GR1002">
        <v>0</v>
      </c>
      <c r="GS1002">
        <v>0</v>
      </c>
      <c r="GT1002">
        <v>22</v>
      </c>
      <c r="GU1002">
        <v>5</v>
      </c>
      <c r="GV1002" t="b">
        <v>1</v>
      </c>
    </row>
    <row r="1003" spans="189:204">
      <c r="GG1003">
        <v>0</v>
      </c>
      <c r="GH1003">
        <v>2</v>
      </c>
      <c r="GK1003">
        <v>0</v>
      </c>
      <c r="GL1003">
        <v>0</v>
      </c>
      <c r="GM1003" t="s">
        <v>9</v>
      </c>
      <c r="GN1003">
        <v>2</v>
      </c>
      <c r="GO1003">
        <v>15</v>
      </c>
      <c r="GP1003">
        <v>16</v>
      </c>
      <c r="GQ1003">
        <v>0</v>
      </c>
      <c r="GR1003">
        <v>0</v>
      </c>
      <c r="GS1003">
        <v>0</v>
      </c>
      <c r="GT1003">
        <v>89</v>
      </c>
      <c r="GU1003">
        <v>5</v>
      </c>
      <c r="GV1003" t="b">
        <v>1</v>
      </c>
    </row>
    <row r="1004" spans="189:204">
      <c r="GG1004">
        <v>0</v>
      </c>
      <c r="GH1004">
        <v>3</v>
      </c>
      <c r="GK1004">
        <v>0</v>
      </c>
      <c r="GL1004">
        <v>1</v>
      </c>
      <c r="GM1004" t="s">
        <v>9</v>
      </c>
      <c r="GN1004">
        <v>3</v>
      </c>
      <c r="GO1004">
        <v>6</v>
      </c>
      <c r="GP1004">
        <v>7</v>
      </c>
      <c r="GQ1004">
        <v>4</v>
      </c>
      <c r="GR1004">
        <v>0</v>
      </c>
      <c r="GS1004">
        <v>0</v>
      </c>
      <c r="GT1004">
        <v>7</v>
      </c>
      <c r="GU1004">
        <v>9</v>
      </c>
      <c r="GV1004" t="b">
        <v>1</v>
      </c>
    </row>
    <row r="1005" spans="189:204">
      <c r="GG1005">
        <v>0</v>
      </c>
      <c r="GH1005">
        <v>4</v>
      </c>
      <c r="GL1005">
        <v>3</v>
      </c>
      <c r="GM1005" t="s">
        <v>116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12</v>
      </c>
      <c r="GU1005">
        <v>13</v>
      </c>
      <c r="GV1005" t="b">
        <v>1</v>
      </c>
    </row>
    <row r="1006" spans="189:204">
      <c r="GG1006">
        <v>0</v>
      </c>
      <c r="GH1006">
        <v>5</v>
      </c>
      <c r="GK1006">
        <v>0</v>
      </c>
      <c r="GL1006">
        <v>1</v>
      </c>
      <c r="GM1006" t="s">
        <v>9</v>
      </c>
      <c r="GN1006">
        <v>3</v>
      </c>
      <c r="GO1006">
        <v>10</v>
      </c>
      <c r="GP1006">
        <v>11</v>
      </c>
      <c r="GQ1006">
        <v>9</v>
      </c>
      <c r="GR1006">
        <v>0</v>
      </c>
      <c r="GS1006">
        <v>0</v>
      </c>
      <c r="GT1006">
        <v>22</v>
      </c>
      <c r="GU1006">
        <v>9</v>
      </c>
      <c r="GV1006" t="b">
        <v>1</v>
      </c>
    </row>
    <row r="1007" spans="189:204">
      <c r="GG1007">
        <v>0</v>
      </c>
      <c r="GH1007">
        <v>6</v>
      </c>
      <c r="GL1007">
        <v>3</v>
      </c>
      <c r="GM1007" t="s">
        <v>116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2</v>
      </c>
      <c r="GU1007">
        <v>13</v>
      </c>
      <c r="GV1007" t="b">
        <v>1</v>
      </c>
    </row>
    <row r="1008" spans="189:204">
      <c r="GG1008">
        <v>0</v>
      </c>
      <c r="GH1008">
        <v>7</v>
      </c>
      <c r="GL1008">
        <v>3</v>
      </c>
      <c r="GM1008" t="s">
        <v>116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7</v>
      </c>
      <c r="GU1008">
        <v>13</v>
      </c>
      <c r="GV1008" t="b">
        <v>1</v>
      </c>
    </row>
    <row r="1009" spans="189:204">
      <c r="GG1009">
        <v>0</v>
      </c>
      <c r="GH1009">
        <v>8</v>
      </c>
      <c r="GK1009">
        <v>0</v>
      </c>
      <c r="GL1009">
        <v>1</v>
      </c>
      <c r="GM1009" t="s">
        <v>9</v>
      </c>
      <c r="GN1009">
        <v>3</v>
      </c>
      <c r="GO1009">
        <v>13</v>
      </c>
      <c r="GP1009">
        <v>14</v>
      </c>
      <c r="GQ1009">
        <v>12</v>
      </c>
      <c r="GR1009">
        <v>0</v>
      </c>
      <c r="GS1009">
        <v>0</v>
      </c>
      <c r="GT1009">
        <v>37</v>
      </c>
      <c r="GU1009">
        <v>9</v>
      </c>
      <c r="GV1009" t="b">
        <v>1</v>
      </c>
    </row>
    <row r="1010" spans="189:204">
      <c r="GG1010">
        <v>0</v>
      </c>
      <c r="GH1010">
        <v>9</v>
      </c>
      <c r="GL1010">
        <v>5</v>
      </c>
      <c r="GM1010" t="s">
        <v>116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27</v>
      </c>
      <c r="GU1010">
        <v>13</v>
      </c>
      <c r="GV1010" t="b">
        <v>1</v>
      </c>
    </row>
    <row r="1011" spans="189:204">
      <c r="GG1011">
        <v>0</v>
      </c>
      <c r="GH1011">
        <v>10</v>
      </c>
      <c r="GL1011">
        <v>5</v>
      </c>
      <c r="GM1011" t="s">
        <v>116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17</v>
      </c>
      <c r="GU1011">
        <v>13</v>
      </c>
      <c r="GV1011" t="b">
        <v>1</v>
      </c>
    </row>
    <row r="1012" spans="189:204">
      <c r="GG1012">
        <v>0</v>
      </c>
      <c r="GH1012">
        <v>11</v>
      </c>
      <c r="GL1012">
        <v>5</v>
      </c>
      <c r="GM1012" t="s">
        <v>116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22</v>
      </c>
      <c r="GU1012">
        <v>13</v>
      </c>
      <c r="GV1012" t="b">
        <v>1</v>
      </c>
    </row>
    <row r="1013" spans="189:204">
      <c r="GG1013">
        <v>0</v>
      </c>
      <c r="GH1013">
        <v>12</v>
      </c>
      <c r="GL1013">
        <v>8</v>
      </c>
      <c r="GM1013" t="s">
        <v>116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42</v>
      </c>
      <c r="GU1013">
        <v>13</v>
      </c>
      <c r="GV1013" t="b">
        <v>1</v>
      </c>
    </row>
    <row r="1014" spans="189:204">
      <c r="GG1014">
        <v>0</v>
      </c>
      <c r="GH1014">
        <v>13</v>
      </c>
      <c r="GL1014">
        <v>8</v>
      </c>
      <c r="GM1014" t="s">
        <v>116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32</v>
      </c>
      <c r="GU1014">
        <v>13</v>
      </c>
      <c r="GV1014" t="b">
        <v>1</v>
      </c>
    </row>
    <row r="1015" spans="189:204">
      <c r="GG1015">
        <v>0</v>
      </c>
      <c r="GH1015">
        <v>14</v>
      </c>
      <c r="GL1015">
        <v>8</v>
      </c>
      <c r="GM1015" t="s">
        <v>116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37</v>
      </c>
      <c r="GU1015">
        <v>13</v>
      </c>
      <c r="GV1015" t="b">
        <v>1</v>
      </c>
    </row>
    <row r="1016" spans="189:204">
      <c r="GG1016">
        <v>16</v>
      </c>
      <c r="GH1016">
        <v>15</v>
      </c>
      <c r="GL1016">
        <v>2</v>
      </c>
      <c r="GM1016" t="s">
        <v>8</v>
      </c>
      <c r="GN1016">
        <v>3</v>
      </c>
      <c r="GO1016">
        <v>17</v>
      </c>
      <c r="GP1016">
        <v>19</v>
      </c>
      <c r="GQ1016">
        <v>22</v>
      </c>
      <c r="GR1016">
        <v>0</v>
      </c>
      <c r="GS1016">
        <v>0</v>
      </c>
      <c r="GT1016">
        <v>67</v>
      </c>
      <c r="GU1016">
        <v>9</v>
      </c>
      <c r="GV1016" t="b">
        <v>1</v>
      </c>
    </row>
    <row r="1017" spans="189:204">
      <c r="GG1017">
        <v>0</v>
      </c>
      <c r="GH1017">
        <v>16</v>
      </c>
      <c r="GL1017">
        <v>2</v>
      </c>
      <c r="GM1017" t="s">
        <v>8</v>
      </c>
      <c r="GN1017">
        <v>3</v>
      </c>
      <c r="GO1017">
        <v>29</v>
      </c>
      <c r="GP1017">
        <v>31</v>
      </c>
      <c r="GQ1017">
        <v>34</v>
      </c>
      <c r="GR1017">
        <v>0</v>
      </c>
      <c r="GS1017">
        <v>0</v>
      </c>
      <c r="GT1017">
        <v>112</v>
      </c>
      <c r="GU1017">
        <v>9</v>
      </c>
      <c r="GV1017" t="b">
        <v>1</v>
      </c>
    </row>
    <row r="1018" spans="189:204">
      <c r="GG1018">
        <v>29</v>
      </c>
      <c r="GH1018">
        <v>17</v>
      </c>
      <c r="GK1018">
        <v>0</v>
      </c>
      <c r="GL1018">
        <v>15</v>
      </c>
      <c r="GM1018" t="s">
        <v>9</v>
      </c>
      <c r="GN1018">
        <v>3</v>
      </c>
      <c r="GO1018">
        <v>20</v>
      </c>
      <c r="GP1018">
        <v>21</v>
      </c>
      <c r="GQ1018">
        <v>18</v>
      </c>
      <c r="GR1018">
        <v>0</v>
      </c>
      <c r="GS1018">
        <v>0</v>
      </c>
      <c r="GT1018">
        <v>52</v>
      </c>
      <c r="GU1018">
        <v>13</v>
      </c>
      <c r="GV1018" t="b">
        <v>1</v>
      </c>
    </row>
    <row r="1019" spans="189:204">
      <c r="GG1019">
        <v>30</v>
      </c>
      <c r="GH1019">
        <v>18</v>
      </c>
      <c r="GL1019">
        <v>17</v>
      </c>
      <c r="GM1019" t="s">
        <v>116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57</v>
      </c>
      <c r="GU1019">
        <v>17</v>
      </c>
      <c r="GV1019" t="b">
        <v>1</v>
      </c>
    </row>
    <row r="1020" spans="189:204">
      <c r="GG1020">
        <v>31</v>
      </c>
      <c r="GH1020">
        <v>19</v>
      </c>
      <c r="GK1020">
        <v>0</v>
      </c>
      <c r="GL1020">
        <v>15</v>
      </c>
      <c r="GM1020" t="s">
        <v>9</v>
      </c>
      <c r="GN1020">
        <v>3</v>
      </c>
      <c r="GO1020">
        <v>24</v>
      </c>
      <c r="GP1020">
        <v>25</v>
      </c>
      <c r="GQ1020">
        <v>23</v>
      </c>
      <c r="GR1020">
        <v>0</v>
      </c>
      <c r="GS1020">
        <v>0</v>
      </c>
      <c r="GT1020">
        <v>67</v>
      </c>
      <c r="GU1020">
        <v>13</v>
      </c>
      <c r="GV1020" t="b">
        <v>1</v>
      </c>
    </row>
    <row r="1021" spans="189:204">
      <c r="GG1021">
        <v>32</v>
      </c>
      <c r="GH1021">
        <v>20</v>
      </c>
      <c r="GL1021">
        <v>17</v>
      </c>
      <c r="GM1021" t="s">
        <v>116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47</v>
      </c>
      <c r="GU1021">
        <v>17</v>
      </c>
      <c r="GV1021" t="b">
        <v>1</v>
      </c>
    </row>
    <row r="1022" spans="189:204">
      <c r="GG1022">
        <v>33</v>
      </c>
      <c r="GH1022">
        <v>21</v>
      </c>
      <c r="GL1022">
        <v>17</v>
      </c>
      <c r="GM1022" t="s">
        <v>116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52</v>
      </c>
      <c r="GU1022">
        <v>17</v>
      </c>
      <c r="GV1022" t="b">
        <v>1</v>
      </c>
    </row>
    <row r="1023" spans="189:204">
      <c r="GG1023">
        <v>34</v>
      </c>
      <c r="GH1023">
        <v>22</v>
      </c>
      <c r="GK1023">
        <v>0</v>
      </c>
      <c r="GL1023">
        <v>15</v>
      </c>
      <c r="GM1023" t="s">
        <v>9</v>
      </c>
      <c r="GN1023">
        <v>3</v>
      </c>
      <c r="GO1023">
        <v>27</v>
      </c>
      <c r="GP1023">
        <v>28</v>
      </c>
      <c r="GQ1023">
        <v>26</v>
      </c>
      <c r="GR1023">
        <v>0</v>
      </c>
      <c r="GS1023">
        <v>0</v>
      </c>
      <c r="GT1023">
        <v>82</v>
      </c>
      <c r="GU1023">
        <v>13</v>
      </c>
      <c r="GV1023" t="b">
        <v>1</v>
      </c>
    </row>
    <row r="1024" spans="189:204">
      <c r="GG1024">
        <v>35</v>
      </c>
      <c r="GH1024">
        <v>23</v>
      </c>
      <c r="GL1024">
        <v>19</v>
      </c>
      <c r="GM1024" t="s">
        <v>116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72</v>
      </c>
      <c r="GU1024">
        <v>17</v>
      </c>
      <c r="GV1024" t="b">
        <v>1</v>
      </c>
    </row>
    <row r="1025" spans="189:204">
      <c r="GG1025">
        <v>36</v>
      </c>
      <c r="GH1025">
        <v>24</v>
      </c>
      <c r="GL1025">
        <v>19</v>
      </c>
      <c r="GM1025" t="s">
        <v>116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62</v>
      </c>
      <c r="GU1025">
        <v>17</v>
      </c>
      <c r="GV1025" t="b">
        <v>1</v>
      </c>
    </row>
    <row r="1026" spans="189:204">
      <c r="GG1026">
        <v>37</v>
      </c>
      <c r="GH1026">
        <v>25</v>
      </c>
      <c r="GL1026">
        <v>19</v>
      </c>
      <c r="GM1026" t="s">
        <v>116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67</v>
      </c>
      <c r="GU1026">
        <v>17</v>
      </c>
      <c r="GV1026" t="b">
        <v>1</v>
      </c>
    </row>
    <row r="1027" spans="189:204">
      <c r="GG1027">
        <v>38</v>
      </c>
      <c r="GH1027">
        <v>26</v>
      </c>
      <c r="GL1027">
        <v>22</v>
      </c>
      <c r="GM1027" t="s">
        <v>116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87</v>
      </c>
      <c r="GU1027">
        <v>17</v>
      </c>
      <c r="GV1027" t="b">
        <v>1</v>
      </c>
    </row>
    <row r="1028" spans="189:204">
      <c r="GG1028">
        <v>39</v>
      </c>
      <c r="GH1028">
        <v>27</v>
      </c>
      <c r="GL1028">
        <v>22</v>
      </c>
      <c r="GM1028" t="s">
        <v>116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77</v>
      </c>
      <c r="GU1028">
        <v>17</v>
      </c>
      <c r="GV1028" t="b">
        <v>1</v>
      </c>
    </row>
    <row r="1029" spans="189:204">
      <c r="GG1029">
        <v>40</v>
      </c>
      <c r="GH1029">
        <v>28</v>
      </c>
      <c r="GL1029">
        <v>22</v>
      </c>
      <c r="GM1029" t="s">
        <v>116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82</v>
      </c>
      <c r="GU1029">
        <v>17</v>
      </c>
      <c r="GV1029" t="b">
        <v>1</v>
      </c>
    </row>
    <row r="1030" spans="189:204">
      <c r="GH1030">
        <v>29</v>
      </c>
      <c r="GK1030">
        <v>0</v>
      </c>
      <c r="GL1030">
        <v>16</v>
      </c>
      <c r="GM1030" t="s">
        <v>9</v>
      </c>
      <c r="GN1030">
        <v>3</v>
      </c>
      <c r="GO1030">
        <v>32</v>
      </c>
      <c r="GP1030">
        <v>33</v>
      </c>
      <c r="GQ1030">
        <v>30</v>
      </c>
      <c r="GR1030">
        <v>0</v>
      </c>
      <c r="GS1030">
        <v>0</v>
      </c>
      <c r="GT1030">
        <v>97</v>
      </c>
      <c r="GU1030">
        <v>13</v>
      </c>
      <c r="GV1030" t="b">
        <v>1</v>
      </c>
    </row>
    <row r="1031" spans="189:204">
      <c r="GH1031">
        <v>30</v>
      </c>
      <c r="GL1031">
        <v>29</v>
      </c>
      <c r="GM1031" t="s">
        <v>116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102</v>
      </c>
      <c r="GU1031">
        <v>17</v>
      </c>
      <c r="GV1031" t="b">
        <v>1</v>
      </c>
    </row>
    <row r="1032" spans="189:204">
      <c r="GH1032">
        <v>31</v>
      </c>
      <c r="GK1032">
        <v>0</v>
      </c>
      <c r="GL1032">
        <v>16</v>
      </c>
      <c r="GM1032" t="s">
        <v>9</v>
      </c>
      <c r="GN1032">
        <v>3</v>
      </c>
      <c r="GO1032">
        <v>36</v>
      </c>
      <c r="GP1032">
        <v>37</v>
      </c>
      <c r="GQ1032">
        <v>35</v>
      </c>
      <c r="GR1032">
        <v>0</v>
      </c>
      <c r="GS1032">
        <v>0</v>
      </c>
      <c r="GT1032">
        <v>112</v>
      </c>
      <c r="GU1032">
        <v>13</v>
      </c>
      <c r="GV1032" t="b">
        <v>1</v>
      </c>
    </row>
    <row r="1033" spans="189:204">
      <c r="GH1033">
        <v>32</v>
      </c>
      <c r="GL1033">
        <v>29</v>
      </c>
      <c r="GM1033" t="s">
        <v>116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92</v>
      </c>
      <c r="GU1033">
        <v>17</v>
      </c>
      <c r="GV1033" t="b">
        <v>1</v>
      </c>
    </row>
    <row r="1034" spans="189:204">
      <c r="GH1034">
        <v>33</v>
      </c>
      <c r="GL1034">
        <v>29</v>
      </c>
      <c r="GM1034" t="s">
        <v>116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97</v>
      </c>
      <c r="GU1034">
        <v>17</v>
      </c>
      <c r="GV1034" t="b">
        <v>1</v>
      </c>
    </row>
    <row r="1035" spans="189:204">
      <c r="GH1035">
        <v>34</v>
      </c>
      <c r="GK1035">
        <v>0</v>
      </c>
      <c r="GL1035">
        <v>16</v>
      </c>
      <c r="GM1035" t="s">
        <v>9</v>
      </c>
      <c r="GN1035">
        <v>3</v>
      </c>
      <c r="GO1035">
        <v>39</v>
      </c>
      <c r="GP1035">
        <v>40</v>
      </c>
      <c r="GQ1035">
        <v>38</v>
      </c>
      <c r="GR1035">
        <v>0</v>
      </c>
      <c r="GS1035">
        <v>0</v>
      </c>
      <c r="GT1035">
        <v>127</v>
      </c>
      <c r="GU1035">
        <v>13</v>
      </c>
      <c r="GV1035" t="b">
        <v>1</v>
      </c>
    </row>
    <row r="1036" spans="189:204">
      <c r="GH1036">
        <v>35</v>
      </c>
      <c r="GL1036">
        <v>31</v>
      </c>
      <c r="GM1036" t="s">
        <v>116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117</v>
      </c>
      <c r="GU1036">
        <v>17</v>
      </c>
      <c r="GV1036" t="b">
        <v>1</v>
      </c>
    </row>
    <row r="1037" spans="189:204">
      <c r="GH1037">
        <v>36</v>
      </c>
      <c r="GL1037">
        <v>31</v>
      </c>
      <c r="GM1037" t="s">
        <v>116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107</v>
      </c>
      <c r="GU1037">
        <v>17</v>
      </c>
      <c r="GV1037" t="b">
        <v>1</v>
      </c>
    </row>
    <row r="1038" spans="189:204">
      <c r="GH1038">
        <v>37</v>
      </c>
      <c r="GL1038">
        <v>31</v>
      </c>
      <c r="GM1038" t="s">
        <v>116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112</v>
      </c>
      <c r="GU1038">
        <v>17</v>
      </c>
      <c r="GV1038" t="b">
        <v>1</v>
      </c>
    </row>
    <row r="1039" spans="189:204">
      <c r="GH1039">
        <v>38</v>
      </c>
      <c r="GL1039">
        <v>34</v>
      </c>
      <c r="GM1039" t="s">
        <v>116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132</v>
      </c>
      <c r="GU1039">
        <v>17</v>
      </c>
      <c r="GV1039" t="b">
        <v>1</v>
      </c>
    </row>
    <row r="1040" spans="189:204">
      <c r="GH1040">
        <v>39</v>
      </c>
      <c r="GL1040">
        <v>34</v>
      </c>
      <c r="GM1040" t="s">
        <v>116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122</v>
      </c>
      <c r="GU1040">
        <v>17</v>
      </c>
      <c r="GV1040" t="b">
        <v>1</v>
      </c>
    </row>
    <row r="1041" spans="190:204">
      <c r="GH1041">
        <v>40</v>
      </c>
      <c r="GL1041">
        <v>34</v>
      </c>
      <c r="GM1041" t="s">
        <v>116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127</v>
      </c>
      <c r="GU1041">
        <v>17</v>
      </c>
      <c r="GV1041" t="b">
        <v>1</v>
      </c>
    </row>
  </sheetData>
  <phoneticPr fontId="10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A2 Text</vt:lpstr>
      <vt:lpstr>Payoff Table Template</vt:lpstr>
      <vt:lpstr>Task 2-1 Payoff Table Solution</vt:lpstr>
      <vt:lpstr>Task 2-2 Solution</vt:lpstr>
      <vt:lpstr>Task 2-3 Solution</vt:lpstr>
      <vt:lpstr>Task 2-4 Decision Tree</vt:lpstr>
      <vt:lpstr>'Task 2-4 Decision Tree'!TreeData</vt:lpstr>
      <vt:lpstr>'Task 2-4 Decision Tree'!TreeDiagBase</vt:lpstr>
      <vt:lpstr>'Task 2-4 Decision Tree'!TreeDiagram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Chenshu</dc:creator>
  <cp:lastModifiedBy>Microsoft Office User</cp:lastModifiedBy>
  <cp:lastPrinted>2018-09-28T14:18:35Z</cp:lastPrinted>
  <dcterms:created xsi:type="dcterms:W3CDTF">2018-09-27T14:45:11Z</dcterms:created>
  <dcterms:modified xsi:type="dcterms:W3CDTF">2021-07-29T02:49:18Z</dcterms:modified>
</cp:coreProperties>
</file>